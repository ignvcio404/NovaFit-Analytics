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DCUCKP6yVbNyle97w3+z3jfgJEb5P5t0AE3t+NyGNDU="/>
    </ext>
  </extLst>
</workbook>
</file>

<file path=xl/sharedStrings.xml><?xml version="1.0" encoding="utf-8"?>
<sst xmlns="http://schemas.openxmlformats.org/spreadsheetml/2006/main" count="284" uniqueCount="154">
  <si>
    <t>SIGLA</t>
  </si>
  <si>
    <t>Matriz Estructura de descomposición de tareas EDT</t>
  </si>
  <si>
    <t>ROL</t>
  </si>
  <si>
    <t>NOMBRE</t>
  </si>
  <si>
    <t>VALOR HORA HH</t>
  </si>
  <si>
    <t>HORAS</t>
  </si>
  <si>
    <t>FASE PLANIFICACION</t>
  </si>
  <si>
    <t>COSTO POR HORA</t>
  </si>
  <si>
    <t>Etapas</t>
  </si>
  <si>
    <t>DIAS</t>
  </si>
  <si>
    <t>HORAS POR ACTIVIDAD O ENTREGABLE</t>
  </si>
  <si>
    <t>PM / JP</t>
  </si>
  <si>
    <t>Project Manager / Jefe de Proyecto</t>
  </si>
  <si>
    <t>TOTAL HRS</t>
  </si>
  <si>
    <t>Felipe Romero Diaz</t>
  </si>
  <si>
    <t>DICCIONARIO EDT</t>
  </si>
  <si>
    <t>Fase de Planificacion</t>
  </si>
  <si>
    <t>Jefe de Proyecto</t>
  </si>
  <si>
    <t>Analista Programador</t>
  </si>
  <si>
    <t>DBA</t>
  </si>
  <si>
    <t>QA</t>
  </si>
  <si>
    <t>Disenador</t>
  </si>
  <si>
    <t>ROL ACTOR</t>
  </si>
  <si>
    <t>NOMBRE ACTOR</t>
  </si>
  <si>
    <t>Acta de Constitucion del Proyecto</t>
  </si>
  <si>
    <t>COSTO x HORA</t>
  </si>
  <si>
    <t>Sueldo mes</t>
  </si>
  <si>
    <t>AP</t>
  </si>
  <si>
    <t>Vicente Gilbert</t>
  </si>
  <si>
    <t>Aprobacion del Acta</t>
  </si>
  <si>
    <t>Desarrollador Base de Datos</t>
  </si>
  <si>
    <t>Yulian Silva</t>
  </si>
  <si>
    <t>Definicion de requerimientos generales</t>
  </si>
  <si>
    <t>Calidad y Testing (QA)</t>
  </si>
  <si>
    <t>Steven San Martin</t>
  </si>
  <si>
    <t>DI</t>
  </si>
  <si>
    <t>Organizacion del equipo de trabajo</t>
  </si>
  <si>
    <t>Diseñador (UI/UX)</t>
  </si>
  <si>
    <t>Antonio Maturana</t>
  </si>
  <si>
    <t>Levantamiento de requisitos especificos</t>
  </si>
  <si>
    <t>TOTAL FASE PLANIFICACION</t>
  </si>
  <si>
    <t>Fase de Analisis y Diseno</t>
  </si>
  <si>
    <t>Captura de requerimientos especificos</t>
  </si>
  <si>
    <t xml:space="preserve">VALOR HORA HH </t>
  </si>
  <si>
    <t>FASE DISEÑO</t>
  </si>
  <si>
    <t>Documento de arquitectura de software</t>
  </si>
  <si>
    <t>COSTO HH POR ROL</t>
  </si>
  <si>
    <t>Documento de casos de uso extendido</t>
  </si>
  <si>
    <t>Diseno de prototipos UI/UX (Mockups)</t>
  </si>
  <si>
    <t>Propuesta ERS (Informe)</t>
  </si>
  <si>
    <t>Diseno esquema Base de Datos relacional</t>
  </si>
  <si>
    <t>HITO: Levantamiento de Requerimientos y Diseño UX/UI</t>
  </si>
  <si>
    <t>Fase de Desarrollo</t>
  </si>
  <si>
    <t>Implementacion ambiente de desarrollo</t>
  </si>
  <si>
    <t>Creacion scripts Base de Datos (PostgreSQL)</t>
  </si>
  <si>
    <t>TOTAL FASE DISEÑO</t>
  </si>
  <si>
    <t>Creacion de migraciones Alembic</t>
  </si>
  <si>
    <t>TOTAL HH</t>
  </si>
  <si>
    <t>HITO: Despliegue de Arquitectura Cloud y Base de Datos</t>
  </si>
  <si>
    <t>Modulo de Gestion Core y Seguridad</t>
  </si>
  <si>
    <t>Login con credenciales JWT (R.1)</t>
  </si>
  <si>
    <t>FASE DESARROLLO</t>
  </si>
  <si>
    <t>COSTO POR FASE</t>
  </si>
  <si>
    <t>Mantenedor de Roles y Permisos (R.2, R.3)</t>
  </si>
  <si>
    <t>LICENCIAS</t>
  </si>
  <si>
    <t>Mantenedor de Sucursales (R.4)</t>
  </si>
  <si>
    <t>Fase de Planificación</t>
  </si>
  <si>
    <t>Mantenedor de Usuarios (R.5)</t>
  </si>
  <si>
    <t xml:space="preserve">Infraestructura Cloud Básico (Render, Vercel, Supabase) </t>
  </si>
  <si>
    <t>$45.000/mensual</t>
  </si>
  <si>
    <t>Asignacion Entrenador-Atleta (R.6)</t>
  </si>
  <si>
    <t>Fase de Análisis y Diseño</t>
  </si>
  <si>
    <t>Auditoria de Acciones (R.7)</t>
  </si>
  <si>
    <t>Cuentas de Desarrollador (Apple Developer &amp; Google Play)</t>
  </si>
  <si>
    <t xml:space="preserve">$120.000 / anual </t>
  </si>
  <si>
    <t>Recuperacion de Contrasena (R.8)</t>
  </si>
  <si>
    <t>Modulo de Administracion y Finanzas</t>
  </si>
  <si>
    <t>TOTAL</t>
  </si>
  <si>
    <t>Mantenedor Planes Membresia (R.9)</t>
  </si>
  <si>
    <t>Gestion de Membresias Atleta (R.10)</t>
  </si>
  <si>
    <t>Fase de QA</t>
  </si>
  <si>
    <t>Congelamiento de Planes (R.11)</t>
  </si>
  <si>
    <t>Fase de Implementación y Cierre</t>
  </si>
  <si>
    <t>Registro de Asistencia (R.12)</t>
  </si>
  <si>
    <t>Mantenedor Metodos de Pago (R.13)</t>
  </si>
  <si>
    <t>Licencias</t>
  </si>
  <si>
    <t>Emision de Facturas/Boletas (R.14)</t>
  </si>
  <si>
    <t>TOTAL FASE DESARROLLO</t>
  </si>
  <si>
    <t>Registro de Transacciones (R.15)</t>
  </si>
  <si>
    <t>TOTAL HH FASES</t>
  </si>
  <si>
    <t>Integracion MercadoPago (R.16)</t>
  </si>
  <si>
    <t>Dashboard Financiero (R.17)</t>
  </si>
  <si>
    <t>FASE PRUEBAS QA</t>
  </si>
  <si>
    <t xml:space="preserve">Margen </t>
  </si>
  <si>
    <t>Deteccion de Morosidad (R.18)</t>
  </si>
  <si>
    <t>Notificaciones WhatsApp (R.19)</t>
  </si>
  <si>
    <t>UTILIDAD</t>
  </si>
  <si>
    <t>Modulo de Gestion de Entrenamiento</t>
  </si>
  <si>
    <t>PRECIO FINAL</t>
  </si>
  <si>
    <t>Mantenedor Grupos Musculares (R.20)</t>
  </si>
  <si>
    <t>Mantenedor de Ejercicios (R.21)</t>
  </si>
  <si>
    <t>Mapeo Ejercicio-Musculo (R.22)</t>
  </si>
  <si>
    <t>Mantenedor de Mesociclos (R.23)</t>
  </si>
  <si>
    <t>Gestion de Microciclos (R.24)</t>
  </si>
  <si>
    <t>Plantillas de Rutina (R.25)</t>
  </si>
  <si>
    <t>TOTAL FASE PRUEBAS QA</t>
  </si>
  <si>
    <t>Asignacion de Sesiones (R.26)</t>
  </si>
  <si>
    <t>Detalle Ejercicios por Sesion (R.27)</t>
  </si>
  <si>
    <t>Programacion de Series (R.28)</t>
  </si>
  <si>
    <t>Modulo de Ejecucion Deportiva y Biometria (Mobile)</t>
  </si>
  <si>
    <t>FASE IMPLEMENTACION Y CIERRE</t>
  </si>
  <si>
    <t>Mantenedor de Suplementos (R.29)</t>
  </si>
  <si>
    <t>Consumo de Suplementos (R.30)</t>
  </si>
  <si>
    <t>Historial de Peso Corporal (R.31)</t>
  </si>
  <si>
    <t>Medidas Antropometricas (R.32)</t>
  </si>
  <si>
    <t>Calculo de ACWR (R.33)</t>
  </si>
  <si>
    <t>TOTAL FASE IMPLEMENTACION</t>
  </si>
  <si>
    <t>Alertas Predictivas de Lesion (R.34)</t>
  </si>
  <si>
    <t>Dashboard Deportivo Entrenador (R.35)</t>
  </si>
  <si>
    <t>Vista de Rutina Diaria Mobile (R.36)</t>
  </si>
  <si>
    <t>Ejecucion de Series Mobile (R.37)</t>
  </si>
  <si>
    <t>Registro de Esfuerzo RPE (R.38)</t>
  </si>
  <si>
    <t>Cronometro de Descanso (R.39)</t>
  </si>
  <si>
    <t>Pagar Mensualidad Mobile (R.40)</t>
  </si>
  <si>
    <t>Graficos de Evolucion Atleta (R.41)</t>
  </si>
  <si>
    <t>Perfil y Ajustes App (R.42)</t>
  </si>
  <si>
    <t>Modulo del Administrador del Sistema</t>
  </si>
  <si>
    <t>Administrar Perfiles de usuario</t>
  </si>
  <si>
    <t>Administrar Credenciales y sesiones</t>
  </si>
  <si>
    <t>Modulo de Reportes</t>
  </si>
  <si>
    <t>Reportes de Ingresos y Morosidad</t>
  </si>
  <si>
    <t>Reportes de Asistencia</t>
  </si>
  <si>
    <t>Reportes de Rendimiento Deportivo (ACWR)</t>
  </si>
  <si>
    <t>Exportacion de Reportes PDF</t>
  </si>
  <si>
    <t>HITO: Entrega - Aplicacion Movil (Atletas) y API &amp; Plataforma Web (Admin y Entrenadores),</t>
  </si>
  <si>
    <t>Fase de Pruebas y QA</t>
  </si>
  <si>
    <t>Implementacion ambiente de pruebas</t>
  </si>
  <si>
    <t>Pruebas unitarias Backend</t>
  </si>
  <si>
    <t>Pruebas de integracion API</t>
  </si>
  <si>
    <t>Pruebas funcionales Web</t>
  </si>
  <si>
    <t>Pruebas funcionales Mobile</t>
  </si>
  <si>
    <t>Pruebas con usuarios (UAT)</t>
  </si>
  <si>
    <t>Correccion de defectos</t>
  </si>
  <si>
    <t>HITO: Pruebas Integrales de Calidad (QA) y UAT, Lanzamiento MVP</t>
  </si>
  <si>
    <t>Fase de Implementacion y Cierre</t>
  </si>
  <si>
    <t>Migracion del sistema a produccion</t>
  </si>
  <si>
    <t>Configuracion CI/CD y Docker</t>
  </si>
  <si>
    <t>Capacitaciones a usuarios</t>
  </si>
  <si>
    <t>Manual de usuario Administrador</t>
  </si>
  <si>
    <t>Manual de usuario Entrenador</t>
  </si>
  <si>
    <t>Guia rapida Atleta (App Movil)</t>
  </si>
  <si>
    <t>Acta de cierre de proyecto</t>
  </si>
  <si>
    <t>HITO: Cierre Oficial del Proyecto</t>
  </si>
  <si>
    <t>TOTAL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</si>
</sst>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;\-0\ "/>
    <numFmt numFmtId="165" formatCode="_ &quot;$&quot;* #,##0_ ;_ &quot;$&quot;* \-#,##0_ ;_ &quot;$&quot;* &quot;-&quot;_ ;_ @_ 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b/>
      <sz val="10.0"/>
      <color rgb="FFFFFFFF"/>
      <name val="Calibri"/>
    </font>
    <font>
      <b/>
      <sz val="9.0"/>
      <color rgb="FFFFFFFF"/>
      <name val="Calibri"/>
    </font>
    <font>
      <b/>
      <sz val="8.0"/>
      <color rgb="FFFFFFFF"/>
      <name val="Calibri"/>
    </font>
    <font>
      <sz val="10.0"/>
      <color theme="1"/>
      <name val="Calibri"/>
    </font>
    <font>
      <b/>
      <sz val="10.0"/>
      <color rgb="FF1F3864"/>
      <name val="Calibri"/>
    </font>
    <font>
      <b/>
      <sz val="8.0"/>
      <color rgb="FF000000"/>
      <name val="Calibri"/>
    </font>
    <font>
      <sz val="10.0"/>
      <color rgb="FF000000"/>
      <name val="Calibri"/>
    </font>
    <font>
      <b/>
      <sz val="12.0"/>
      <color theme="1"/>
      <name val="Calibri"/>
    </font>
    <font>
      <sz val="12.0"/>
      <color rgb="FF000000"/>
      <name val="Calibri"/>
    </font>
    <font>
      <b/>
      <sz val="11.0"/>
      <color rgb="FFFFFFF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ADB9CA"/>
        <bgColor rgb="FFADB9CA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2" fontId="1" numFmtId="0" xfId="0" applyAlignment="1" applyBorder="1" applyFill="1" applyFont="1">
      <alignment horizontal="center" shrinkToFit="0" wrapText="1"/>
    </xf>
    <xf borderId="5" fillId="2" fontId="1" numFmtId="0" xfId="0" applyAlignment="1" applyBorder="1" applyFill="1" applyFont="1">
      <alignment horizontal="center"/>
    </xf>
    <xf borderId="1" fillId="4" fontId="4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5" fillId="4" fontId="4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readingOrder="0"/>
    </xf>
    <xf borderId="1" fillId="4" fontId="5" numFmtId="0" xfId="0" applyAlignment="1" applyBorder="1" applyFill="1" applyFont="1">
      <alignment horizontal="center" shrinkToFit="0" vertical="center" wrapText="1"/>
    </xf>
    <xf borderId="1" fillId="0" fontId="1" numFmtId="3" xfId="0" applyBorder="1" applyFont="1" applyNumberFormat="1"/>
    <xf borderId="1" fillId="5" fontId="4" numFmtId="0" xfId="0" applyAlignment="1" applyBorder="1" applyFill="1" applyFont="1">
      <alignment horizontal="left" shrinkToFit="0" vertical="center" wrapText="1"/>
    </xf>
    <xf borderId="1" fillId="0" fontId="1" numFmtId="164" xfId="0" applyBorder="1" applyFont="1" applyNumberFormat="1"/>
    <xf borderId="1" fillId="5" fontId="1" numFmtId="0" xfId="0" applyBorder="1" applyFill="1" applyFont="1"/>
    <xf borderId="1" fillId="5" fontId="6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0" fontId="1" numFmtId="165" xfId="0" applyBorder="1" applyFont="1" applyNumberFormat="1"/>
    <xf borderId="1" fillId="5" fontId="5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left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1"/>
    </xf>
    <xf borderId="1" fillId="6" fontId="7" numFmtId="0" xfId="0" applyAlignment="1" applyBorder="1" applyFill="1" applyFont="1">
      <alignment horizontal="left" readingOrder="0" shrinkToFit="0" vertical="center" wrapText="1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horizontal="center"/>
    </xf>
    <xf borderId="8" fillId="6" fontId="1" numFmtId="0" xfId="0" applyBorder="1" applyFill="1" applyFont="1"/>
    <xf borderId="1" fillId="7" fontId="8" numFmtId="0" xfId="0" applyAlignment="1" applyBorder="1" applyFill="1" applyFont="1">
      <alignment horizontal="left" readingOrder="0" shrinkToFit="0" vertical="center" wrapText="1"/>
    </xf>
    <xf borderId="1" fillId="7" fontId="8" numFmtId="0" xfId="0" applyAlignment="1" applyBorder="1" applyFill="1" applyFont="1">
      <alignment horizontal="center" readingOrder="0"/>
    </xf>
    <xf borderId="1" fillId="7" fontId="9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ill="1" applyFont="1">
      <alignment horizontal="center" shrinkToFit="0" vertical="center" wrapText="1"/>
    </xf>
    <xf borderId="1" fillId="8" fontId="11" numFmtId="0" xfId="0" applyBorder="1" applyFill="1" applyFont="1"/>
    <xf borderId="1" fillId="7" fontId="8" numFmtId="0" xfId="0" applyAlignment="1" applyBorder="1" applyFill="1" applyFont="1">
      <alignment horizontal="left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1" numFmtId="165" xfId="0" applyBorder="1" applyFill="1" applyFont="1" applyNumberFormat="1"/>
    <xf borderId="1" fillId="9" fontId="8" numFmtId="0" xfId="0" applyAlignment="1" applyBorder="1" applyFill="1" applyFont="1">
      <alignment horizontal="left" shrinkToFit="0" vertical="center" wrapText="1"/>
    </xf>
    <xf borderId="1" fillId="9" fontId="1" numFmtId="0" xfId="0" applyBorder="1" applyFill="1" applyFont="1"/>
    <xf borderId="1" fillId="9" fontId="1" numFmtId="0" xfId="0" applyAlignment="1" applyBorder="1" applyFill="1" applyFont="1">
      <alignment horizontal="center"/>
    </xf>
    <xf borderId="5" fillId="2" fontId="1" numFmtId="0" xfId="0" applyAlignment="1" applyBorder="1" applyFill="1" applyFont="1">
      <alignment horizontal="center" readingOrder="0"/>
    </xf>
    <xf borderId="5" fillId="0" fontId="12" numFmtId="165" xfId="0" applyAlignment="1" applyBorder="1" applyFont="1" applyNumberFormat="1">
      <alignment readingOrder="0"/>
    </xf>
    <xf borderId="1" fillId="0" fontId="12" numFmtId="0" xfId="0" applyAlignment="1" applyBorder="1" applyFont="1">
      <alignment readingOrder="0"/>
    </xf>
    <xf borderId="1" fillId="0" fontId="1" numFmtId="165" xfId="0" applyAlignment="1" applyBorder="1" applyFont="1" applyNumberFormat="1">
      <alignment readingOrder="0"/>
    </xf>
    <xf borderId="1" fillId="0" fontId="11" numFmtId="0" xfId="0" applyAlignment="1" applyBorder="1" applyFont="1">
      <alignment readingOrder="0"/>
    </xf>
    <xf borderId="1" fillId="0" fontId="11" numFmtId="165" xfId="0" applyBorder="1" applyFont="1" applyNumberFormat="1"/>
    <xf borderId="1" fillId="0" fontId="1" numFmtId="0" xfId="0" applyAlignment="1" applyBorder="1" applyFont="1">
      <alignment horizontal="center"/>
    </xf>
    <xf borderId="1" fillId="8" fontId="1" numFmtId="0" xfId="0" applyAlignment="1" applyBorder="1" applyFill="1" applyFont="1">
      <alignment readingOrder="0"/>
    </xf>
    <xf borderId="1" fillId="0" fontId="1" numFmtId="9" xfId="0" applyBorder="1" applyFont="1" applyNumberFormat="1"/>
    <xf borderId="1" fillId="9" fontId="1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4" fontId="13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72.86"/>
    <col customWidth="1" min="2" max="2" width="4.86"/>
    <col customWidth="1" min="3" max="3" width="12.0"/>
    <col customWidth="1" min="4" max="4" width="15.14"/>
    <col customWidth="1" min="5" max="6" width="4.0"/>
    <col customWidth="1" min="7" max="7" width="7.71"/>
    <col customWidth="1" min="8" max="8" width="9.0"/>
    <col customWidth="1" min="9" max="9" width="7.14"/>
    <col customWidth="1" min="10" max="10" width="16.0"/>
    <col customWidth="1" min="11" max="11" width="28.29"/>
    <col customWidth="1" min="12" max="12" width="16.0"/>
    <col customWidth="1" min="13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 ht="18.0" customHeight="1">
      <c r="A2" s="3" t="s">
        <v>1</v>
      </c>
      <c r="B2" s="4"/>
      <c r="C2" s="4"/>
      <c r="D2" s="5"/>
      <c r="E2" s="1"/>
      <c r="F2" s="1"/>
      <c r="G2" s="1"/>
      <c r="H2" s="1"/>
      <c r="I2" s="1"/>
      <c r="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</row>
    <row r="4">
      <c r="A4" s="8" t="s">
        <v>8</v>
      </c>
      <c r="B4" s="8" t="s">
        <v>9</v>
      </c>
      <c r="C4" s="11" t="s">
        <v>10</v>
      </c>
      <c r="D4" s="9"/>
      <c r="E4" s="9"/>
      <c r="F4" s="9"/>
      <c r="G4" s="10"/>
      <c r="H4" s="13" t="s">
        <v>13</v>
      </c>
      <c r="K4" s="11" t="s">
        <v>15</v>
      </c>
      <c r="L4" s="10"/>
    </row>
    <row r="5" ht="28.5" customHeight="1">
      <c r="A5" s="15" t="s">
        <v>16</v>
      </c>
      <c r="B5" s="17"/>
      <c r="C5" s="18" t="s">
        <v>17</v>
      </c>
      <c r="D5" s="18" t="s">
        <v>18</v>
      </c>
      <c r="E5" s="18" t="s">
        <v>19</v>
      </c>
      <c r="F5" s="18" t="s">
        <v>20</v>
      </c>
      <c r="G5" s="18" t="s">
        <v>21</v>
      </c>
      <c r="H5" s="19">
        <f>SUM(H6:H10)</f>
        <v>87</v>
      </c>
      <c r="K5" s="21" t="s">
        <v>22</v>
      </c>
      <c r="L5" s="21" t="s">
        <v>23</v>
      </c>
    </row>
    <row r="6" outlineLevel="1">
      <c r="A6" s="22" t="s">
        <v>24</v>
      </c>
      <c r="B6" s="23">
        <v>3.0</v>
      </c>
      <c r="C6" s="23">
        <v>8.0</v>
      </c>
      <c r="D6" s="23">
        <v>4.0</v>
      </c>
      <c r="E6" s="23"/>
      <c r="F6" s="23"/>
      <c r="G6" s="23"/>
      <c r="H6" s="23">
        <f t="shared" ref="H6:H10" si="1">SUM(C6:G6)</f>
        <v>12</v>
      </c>
      <c r="K6" s="26" t="s">
        <v>12</v>
      </c>
      <c r="L6" s="27" t="s">
        <v>14</v>
      </c>
    </row>
    <row r="7" outlineLevel="1">
      <c r="A7" s="22" t="s">
        <v>29</v>
      </c>
      <c r="B7" s="23">
        <v>1.0</v>
      </c>
      <c r="C7" s="23">
        <v>2.0</v>
      </c>
      <c r="D7" s="23">
        <v>1.0</v>
      </c>
      <c r="E7" s="23"/>
      <c r="F7" s="23"/>
      <c r="G7" s="23"/>
      <c r="H7" s="23">
        <f t="shared" si="1"/>
        <v>3</v>
      </c>
      <c r="K7" s="26" t="s">
        <v>18</v>
      </c>
      <c r="L7" s="28" t="s">
        <v>28</v>
      </c>
    </row>
    <row r="8" outlineLevel="1">
      <c r="A8" s="22" t="s">
        <v>32</v>
      </c>
      <c r="B8" s="23">
        <v>5.0</v>
      </c>
      <c r="C8" s="23">
        <v>10.0</v>
      </c>
      <c r="D8" s="23">
        <v>12.0</v>
      </c>
      <c r="E8" s="23">
        <v>4.0</v>
      </c>
      <c r="F8" s="23">
        <v>4.0</v>
      </c>
      <c r="G8" s="23">
        <v>4.0</v>
      </c>
      <c r="H8" s="23">
        <f t="shared" si="1"/>
        <v>34</v>
      </c>
      <c r="K8" s="26" t="s">
        <v>30</v>
      </c>
      <c r="L8" s="27" t="s">
        <v>31</v>
      </c>
    </row>
    <row r="9" outlineLevel="1">
      <c r="A9" s="22" t="s">
        <v>36</v>
      </c>
      <c r="B9" s="23">
        <v>2.0</v>
      </c>
      <c r="C9" s="23">
        <v>6.0</v>
      </c>
      <c r="D9" s="23">
        <v>2.0</v>
      </c>
      <c r="E9" s="23"/>
      <c r="F9" s="23"/>
      <c r="G9" s="23"/>
      <c r="H9" s="23">
        <f t="shared" si="1"/>
        <v>8</v>
      </c>
      <c r="K9" s="26" t="s">
        <v>33</v>
      </c>
      <c r="L9" s="27" t="s">
        <v>34</v>
      </c>
    </row>
    <row r="10" outlineLevel="1">
      <c r="A10" s="22" t="s">
        <v>39</v>
      </c>
      <c r="B10" s="23">
        <v>5.0</v>
      </c>
      <c r="C10" s="23">
        <v>8.0</v>
      </c>
      <c r="D10" s="23">
        <v>12.0</v>
      </c>
      <c r="E10" s="23">
        <v>4.0</v>
      </c>
      <c r="F10" s="23">
        <v>4.0</v>
      </c>
      <c r="G10" s="23">
        <v>2.0</v>
      </c>
      <c r="H10" s="23">
        <f t="shared" si="1"/>
        <v>30</v>
      </c>
      <c r="K10" s="26" t="s">
        <v>37</v>
      </c>
      <c r="L10" s="27" t="s">
        <v>38</v>
      </c>
    </row>
    <row r="11" ht="28.5" customHeight="1">
      <c r="A11" s="15" t="s">
        <v>41</v>
      </c>
      <c r="B11" s="17"/>
      <c r="C11" s="18" t="s">
        <v>17</v>
      </c>
      <c r="D11" s="18" t="s">
        <v>18</v>
      </c>
      <c r="E11" s="18" t="s">
        <v>19</v>
      </c>
      <c r="F11" s="18" t="s">
        <v>20</v>
      </c>
      <c r="G11" s="18" t="s">
        <v>21</v>
      </c>
      <c r="H11" s="19">
        <f>SUM(H12:H17)</f>
        <v>174</v>
      </c>
      <c r="I11" s="30"/>
      <c r="J11" s="30"/>
    </row>
    <row r="12" outlineLevel="1">
      <c r="A12" s="22" t="s">
        <v>42</v>
      </c>
      <c r="B12" s="23">
        <v>5.0</v>
      </c>
      <c r="C12" s="23">
        <v>8.0</v>
      </c>
      <c r="D12" s="23">
        <v>12.0</v>
      </c>
      <c r="E12" s="23">
        <v>8.0</v>
      </c>
      <c r="F12" s="23">
        <v>4.0</v>
      </c>
      <c r="G12" s="23">
        <v>2.0</v>
      </c>
      <c r="H12" s="23">
        <f t="shared" ref="H12:H17" si="2">SUM(C12:G12)</f>
        <v>34</v>
      </c>
      <c r="I12" s="30"/>
      <c r="J12" s="30"/>
    </row>
    <row r="13" outlineLevel="1">
      <c r="A13" s="22" t="s">
        <v>45</v>
      </c>
      <c r="B13" s="23">
        <v>5.0</v>
      </c>
      <c r="C13" s="23">
        <v>6.0</v>
      </c>
      <c r="D13" s="23">
        <v>14.0</v>
      </c>
      <c r="E13" s="23">
        <v>8.0</v>
      </c>
      <c r="F13" s="23"/>
      <c r="G13" s="23"/>
      <c r="H13" s="23">
        <f t="shared" si="2"/>
        <v>28</v>
      </c>
      <c r="I13" s="30"/>
      <c r="J13" s="30"/>
    </row>
    <row r="14" outlineLevel="1">
      <c r="A14" s="22" t="s">
        <v>47</v>
      </c>
      <c r="B14" s="23">
        <v>5.0</v>
      </c>
      <c r="C14" s="23">
        <v>6.0</v>
      </c>
      <c r="D14" s="23">
        <v>10.0</v>
      </c>
      <c r="E14" s="23"/>
      <c r="F14" s="23">
        <v>4.0</v>
      </c>
      <c r="G14" s="23"/>
      <c r="H14" s="23">
        <f t="shared" si="2"/>
        <v>20</v>
      </c>
      <c r="I14" s="30"/>
      <c r="J14" s="30"/>
    </row>
    <row r="15" outlineLevel="1">
      <c r="A15" s="22" t="s">
        <v>48</v>
      </c>
      <c r="B15" s="23">
        <v>5.0</v>
      </c>
      <c r="C15" s="23">
        <v>4.0</v>
      </c>
      <c r="D15" s="23">
        <v>2.0</v>
      </c>
      <c r="E15" s="23"/>
      <c r="F15" s="23">
        <v>2.0</v>
      </c>
      <c r="G15" s="23">
        <v>18.0</v>
      </c>
      <c r="H15" s="23">
        <f t="shared" si="2"/>
        <v>26</v>
      </c>
      <c r="I15" s="30"/>
      <c r="J15" s="30"/>
    </row>
    <row r="16" outlineLevel="1">
      <c r="A16" s="22" t="s">
        <v>49</v>
      </c>
      <c r="B16" s="23">
        <v>7.0</v>
      </c>
      <c r="C16" s="23">
        <v>10.0</v>
      </c>
      <c r="D16" s="23">
        <v>12.0</v>
      </c>
      <c r="E16" s="23">
        <v>4.0</v>
      </c>
      <c r="F16" s="23">
        <v>4.0</v>
      </c>
      <c r="G16" s="23">
        <v>6.0</v>
      </c>
      <c r="H16" s="23">
        <f t="shared" si="2"/>
        <v>36</v>
      </c>
      <c r="I16" s="30"/>
      <c r="J16" s="30"/>
    </row>
    <row r="17" outlineLevel="1">
      <c r="A17" s="22" t="s">
        <v>50</v>
      </c>
      <c r="B17" s="23">
        <v>5.0</v>
      </c>
      <c r="C17" s="23">
        <v>4.0</v>
      </c>
      <c r="D17" s="23">
        <v>10.0</v>
      </c>
      <c r="E17" s="23">
        <v>16.0</v>
      </c>
      <c r="F17" s="23"/>
      <c r="G17" s="23"/>
      <c r="H17" s="23">
        <f t="shared" si="2"/>
        <v>30</v>
      </c>
      <c r="I17" s="30"/>
      <c r="J17" s="30"/>
    </row>
    <row r="18">
      <c r="A18" s="31" t="s">
        <v>51</v>
      </c>
      <c r="B18" s="32">
        <v>0.0</v>
      </c>
      <c r="C18" s="33"/>
      <c r="D18" s="33"/>
      <c r="E18" s="33"/>
      <c r="F18" s="33"/>
      <c r="G18" s="33"/>
      <c r="H18" s="34"/>
      <c r="I18" s="30"/>
      <c r="J18" s="30"/>
    </row>
    <row r="19" ht="28.5" customHeight="1">
      <c r="A19" s="15" t="s">
        <v>52</v>
      </c>
      <c r="B19" s="17"/>
      <c r="C19" s="18" t="s">
        <v>17</v>
      </c>
      <c r="D19" s="18" t="s">
        <v>18</v>
      </c>
      <c r="E19" s="18" t="s">
        <v>19</v>
      </c>
      <c r="F19" s="18" t="s">
        <v>20</v>
      </c>
      <c r="G19" s="18" t="s">
        <v>21</v>
      </c>
      <c r="H19" s="19">
        <f>SUM(H20:H77)</f>
        <v>878</v>
      </c>
      <c r="I19" s="30"/>
      <c r="J19" s="30"/>
    </row>
    <row r="20" ht="18.0" customHeight="1" outlineLevel="1">
      <c r="A20" s="22" t="s">
        <v>53</v>
      </c>
      <c r="B20" s="23">
        <v>3.0</v>
      </c>
      <c r="C20" s="23">
        <v>6.0</v>
      </c>
      <c r="D20" s="23">
        <v>10.0</v>
      </c>
      <c r="E20" s="23">
        <v>8.0</v>
      </c>
      <c r="F20" s="23"/>
      <c r="G20" s="23"/>
      <c r="H20" s="23">
        <f t="shared" ref="H20:H22" si="3">SUM(C20:G20)</f>
        <v>24</v>
      </c>
      <c r="I20" s="30"/>
      <c r="J20" s="30"/>
    </row>
    <row r="21" ht="18.0" customHeight="1" outlineLevel="1">
      <c r="A21" s="22" t="s">
        <v>54</v>
      </c>
      <c r="B21" s="23">
        <v>5.0</v>
      </c>
      <c r="C21" s="23">
        <v>2.0</v>
      </c>
      <c r="D21" s="23">
        <v>2.0</v>
      </c>
      <c r="E21" s="23">
        <v>20.0</v>
      </c>
      <c r="F21" s="23"/>
      <c r="G21" s="23"/>
      <c r="H21" s="23">
        <f t="shared" si="3"/>
        <v>24</v>
      </c>
      <c r="I21" s="30"/>
      <c r="J21" s="30"/>
    </row>
    <row r="22" ht="18.0" customHeight="1" outlineLevel="1">
      <c r="A22" s="22" t="s">
        <v>56</v>
      </c>
      <c r="B22" s="23">
        <v>3.0</v>
      </c>
      <c r="C22" s="23">
        <v>2.0</v>
      </c>
      <c r="D22" s="23">
        <v>2.0</v>
      </c>
      <c r="E22" s="23">
        <v>12.0</v>
      </c>
      <c r="F22" s="23"/>
      <c r="G22" s="23"/>
      <c r="H22" s="23">
        <f t="shared" si="3"/>
        <v>16</v>
      </c>
      <c r="I22" s="30"/>
      <c r="J22" s="30"/>
    </row>
    <row r="23" ht="18.0" customHeight="1" outlineLevel="1">
      <c r="A23" s="36" t="s">
        <v>58</v>
      </c>
      <c r="B23" s="37">
        <v>0.0</v>
      </c>
      <c r="C23" s="38"/>
      <c r="D23" s="38"/>
      <c r="E23" s="38"/>
      <c r="F23" s="38"/>
      <c r="G23" s="38"/>
      <c r="H23" s="38"/>
      <c r="I23" s="1"/>
      <c r="J23" s="1"/>
    </row>
    <row r="24" ht="18.0" customHeight="1" outlineLevel="1">
      <c r="A24" s="40" t="s">
        <v>59</v>
      </c>
      <c r="B24" s="41"/>
      <c r="C24" s="42"/>
      <c r="D24" s="42"/>
      <c r="E24" s="42"/>
      <c r="F24" s="42"/>
      <c r="G24" s="42"/>
      <c r="H24" s="41"/>
      <c r="I24" s="30"/>
      <c r="J24" s="30"/>
    </row>
    <row r="25" ht="18.0" customHeight="1" outlineLevel="1">
      <c r="A25" s="22" t="s">
        <v>60</v>
      </c>
      <c r="B25" s="23">
        <v>5.0</v>
      </c>
      <c r="C25" s="23">
        <v>4.0</v>
      </c>
      <c r="D25" s="23">
        <v>10.0</v>
      </c>
      <c r="E25" s="23">
        <v>4.0</v>
      </c>
      <c r="F25" s="23">
        <v>4.0</v>
      </c>
      <c r="G25" s="23">
        <v>4.0</v>
      </c>
      <c r="H25" s="23">
        <f t="shared" ref="H25:H53" si="4">SUM(C25:G25)</f>
        <v>26</v>
      </c>
      <c r="I25" s="30"/>
      <c r="J25" s="30"/>
    </row>
    <row r="26" ht="18.0" customHeight="1" outlineLevel="1">
      <c r="A26" s="22" t="s">
        <v>63</v>
      </c>
      <c r="B26" s="23">
        <v>4.0</v>
      </c>
      <c r="C26" s="23">
        <v>3.0</v>
      </c>
      <c r="D26" s="23">
        <v>8.0</v>
      </c>
      <c r="E26" s="23">
        <v>4.0</v>
      </c>
      <c r="F26" s="23">
        <v>2.0</v>
      </c>
      <c r="G26" s="23">
        <v>2.0</v>
      </c>
      <c r="H26" s="23">
        <f t="shared" si="4"/>
        <v>19</v>
      </c>
      <c r="I26" s="30"/>
      <c r="J26" s="30"/>
    </row>
    <row r="27" ht="18.0" customHeight="1" outlineLevel="1">
      <c r="A27" s="22" t="s">
        <v>65</v>
      </c>
      <c r="B27" s="23">
        <v>3.0</v>
      </c>
      <c r="C27" s="23">
        <v>2.0</v>
      </c>
      <c r="D27" s="23">
        <v>6.0</v>
      </c>
      <c r="E27" s="23">
        <v>4.0</v>
      </c>
      <c r="F27" s="23">
        <v>2.0</v>
      </c>
      <c r="G27" s="23">
        <v>2.0</v>
      </c>
      <c r="H27" s="23">
        <f t="shared" si="4"/>
        <v>16</v>
      </c>
      <c r="I27" s="30"/>
      <c r="J27" s="30"/>
    </row>
    <row r="28" ht="18.0" customHeight="1" outlineLevel="1">
      <c r="A28" s="22" t="s">
        <v>67</v>
      </c>
      <c r="B28" s="23">
        <v>4.0</v>
      </c>
      <c r="C28" s="23">
        <v>3.0</v>
      </c>
      <c r="D28" s="23">
        <v>8.0</v>
      </c>
      <c r="E28" s="23">
        <v>4.0</v>
      </c>
      <c r="F28" s="23">
        <v>2.0</v>
      </c>
      <c r="G28" s="23">
        <v>4.0</v>
      </c>
      <c r="H28" s="23">
        <f t="shared" si="4"/>
        <v>21</v>
      </c>
      <c r="I28" s="30"/>
      <c r="J28" s="30"/>
    </row>
    <row r="29" ht="18.0" customHeight="1" outlineLevel="1">
      <c r="A29" s="22" t="s">
        <v>70</v>
      </c>
      <c r="B29" s="23">
        <v>3.0</v>
      </c>
      <c r="C29" s="23">
        <v>2.0</v>
      </c>
      <c r="D29" s="23">
        <v>6.0</v>
      </c>
      <c r="E29" s="23">
        <v>4.0</v>
      </c>
      <c r="F29" s="23">
        <v>2.0</v>
      </c>
      <c r="G29" s="23">
        <v>2.0</v>
      </c>
      <c r="H29" s="23">
        <f t="shared" si="4"/>
        <v>16</v>
      </c>
      <c r="I29" s="30"/>
      <c r="J29" s="30"/>
    </row>
    <row r="30" ht="18.0" customHeight="1" outlineLevel="1">
      <c r="A30" s="22" t="s">
        <v>72</v>
      </c>
      <c r="B30" s="23">
        <v>3.0</v>
      </c>
      <c r="C30" s="23">
        <v>2.0</v>
      </c>
      <c r="D30" s="23">
        <v>8.0</v>
      </c>
      <c r="E30" s="23">
        <v>4.0</v>
      </c>
      <c r="F30" s="23"/>
      <c r="G30" s="23"/>
      <c r="H30" s="23">
        <f t="shared" si="4"/>
        <v>14</v>
      </c>
      <c r="I30" s="30"/>
      <c r="J30" s="30"/>
    </row>
    <row r="31" ht="18.0" customHeight="1" outlineLevel="1">
      <c r="A31" s="22" t="s">
        <v>75</v>
      </c>
      <c r="B31" s="23">
        <v>3.0</v>
      </c>
      <c r="C31" s="23">
        <v>2.0</v>
      </c>
      <c r="D31" s="23">
        <v>6.0</v>
      </c>
      <c r="E31" s="23">
        <v>2.0</v>
      </c>
      <c r="F31" s="23">
        <v>2.0</v>
      </c>
      <c r="G31" s="23">
        <v>3.0</v>
      </c>
      <c r="H31" s="23">
        <f t="shared" si="4"/>
        <v>15</v>
      </c>
      <c r="I31" s="30"/>
      <c r="J31" s="30"/>
    </row>
    <row r="32" ht="18.0" customHeight="1" outlineLevel="1">
      <c r="A32" s="40" t="s">
        <v>76</v>
      </c>
      <c r="B32" s="41"/>
      <c r="C32" s="42"/>
      <c r="D32" s="42"/>
      <c r="E32" s="42"/>
      <c r="F32" s="42"/>
      <c r="G32" s="42"/>
      <c r="H32" s="23">
        <f t="shared" si="4"/>
        <v>0</v>
      </c>
      <c r="I32" s="30"/>
      <c r="J32" s="30"/>
    </row>
    <row r="33" ht="18.0" customHeight="1" outlineLevel="1">
      <c r="A33" s="22" t="s">
        <v>78</v>
      </c>
      <c r="B33" s="23">
        <v>3.0</v>
      </c>
      <c r="C33" s="23">
        <v>2.0</v>
      </c>
      <c r="D33" s="23">
        <v>6.0</v>
      </c>
      <c r="E33" s="23">
        <v>4.0</v>
      </c>
      <c r="F33" s="23">
        <v>2.0</v>
      </c>
      <c r="G33" s="23">
        <v>2.0</v>
      </c>
      <c r="H33" s="23">
        <f t="shared" si="4"/>
        <v>16</v>
      </c>
      <c r="I33" s="30"/>
      <c r="J33" s="30"/>
    </row>
    <row r="34" ht="18.0" customHeight="1" outlineLevel="1">
      <c r="A34" s="22" t="s">
        <v>79</v>
      </c>
      <c r="B34" s="23">
        <v>4.0</v>
      </c>
      <c r="C34" s="23">
        <v>3.0</v>
      </c>
      <c r="D34" s="23">
        <v>8.0</v>
      </c>
      <c r="E34" s="23">
        <v>4.0</v>
      </c>
      <c r="F34" s="23">
        <v>2.0</v>
      </c>
      <c r="G34" s="23">
        <v>4.0</v>
      </c>
      <c r="H34" s="23">
        <f t="shared" si="4"/>
        <v>21</v>
      </c>
      <c r="I34" s="30"/>
      <c r="J34" s="30"/>
    </row>
    <row r="35" ht="18.0" customHeight="1" outlineLevel="1">
      <c r="A35" s="22" t="s">
        <v>81</v>
      </c>
      <c r="B35" s="23">
        <v>2.0</v>
      </c>
      <c r="C35" s="23">
        <v>2.0</v>
      </c>
      <c r="D35" s="23">
        <v>4.0</v>
      </c>
      <c r="E35" s="23">
        <v>2.0</v>
      </c>
      <c r="F35" s="23">
        <v>2.0</v>
      </c>
      <c r="G35" s="23">
        <v>2.0</v>
      </c>
      <c r="H35" s="23">
        <f t="shared" si="4"/>
        <v>12</v>
      </c>
      <c r="I35" s="30"/>
      <c r="J35" s="30"/>
    </row>
    <row r="36" ht="18.0" customHeight="1" outlineLevel="1">
      <c r="A36" s="22" t="s">
        <v>83</v>
      </c>
      <c r="B36" s="23">
        <v>3.0</v>
      </c>
      <c r="C36" s="23">
        <v>2.0</v>
      </c>
      <c r="D36" s="23">
        <v>6.0</v>
      </c>
      <c r="E36" s="23">
        <v>4.0</v>
      </c>
      <c r="F36" s="23">
        <v>2.0</v>
      </c>
      <c r="G36" s="23">
        <v>2.0</v>
      </c>
      <c r="H36" s="23">
        <f t="shared" si="4"/>
        <v>16</v>
      </c>
      <c r="I36" s="30"/>
      <c r="J36" s="30"/>
    </row>
    <row r="37" ht="18.0" customHeight="1" outlineLevel="1">
      <c r="A37" s="22" t="s">
        <v>84</v>
      </c>
      <c r="B37" s="23">
        <v>2.0</v>
      </c>
      <c r="C37" s="23">
        <v>2.0</v>
      </c>
      <c r="D37" s="23">
        <v>4.0</v>
      </c>
      <c r="E37" s="23">
        <v>2.0</v>
      </c>
      <c r="F37" s="23">
        <v>2.0</v>
      </c>
      <c r="G37" s="23">
        <v>2.0</v>
      </c>
      <c r="H37" s="23">
        <f t="shared" si="4"/>
        <v>12</v>
      </c>
      <c r="I37" s="30"/>
      <c r="J37" s="30"/>
    </row>
    <row r="38" ht="18.0" customHeight="1" outlineLevel="1">
      <c r="A38" s="22" t="s">
        <v>86</v>
      </c>
      <c r="B38" s="23">
        <v>3.0</v>
      </c>
      <c r="C38" s="23">
        <v>2.0</v>
      </c>
      <c r="D38" s="23">
        <v>6.0</v>
      </c>
      <c r="E38" s="23">
        <v>4.0</v>
      </c>
      <c r="F38" s="23">
        <v>2.0</v>
      </c>
      <c r="G38" s="23">
        <v>2.0</v>
      </c>
      <c r="H38" s="23">
        <f t="shared" si="4"/>
        <v>16</v>
      </c>
      <c r="I38" s="30"/>
      <c r="J38" s="30"/>
    </row>
    <row r="39" ht="18.0" customHeight="1" outlineLevel="1">
      <c r="A39" s="22" t="s">
        <v>88</v>
      </c>
      <c r="B39" s="23">
        <v>3.0</v>
      </c>
      <c r="C39" s="23">
        <v>2.0</v>
      </c>
      <c r="D39" s="23">
        <v>6.0</v>
      </c>
      <c r="E39" s="23">
        <v>4.0</v>
      </c>
      <c r="F39" s="23"/>
      <c r="G39" s="23">
        <v>2.0</v>
      </c>
      <c r="H39" s="23">
        <f t="shared" si="4"/>
        <v>14</v>
      </c>
      <c r="I39" s="30"/>
      <c r="J39" s="30"/>
    </row>
    <row r="40" ht="18.0" customHeight="1" outlineLevel="1">
      <c r="A40" s="22" t="s">
        <v>90</v>
      </c>
      <c r="B40" s="23">
        <v>5.0</v>
      </c>
      <c r="C40" s="23">
        <v>3.0</v>
      </c>
      <c r="D40" s="23">
        <v>10.0</v>
      </c>
      <c r="E40" s="23">
        <v>4.0</v>
      </c>
      <c r="F40" s="23">
        <v>4.0</v>
      </c>
      <c r="G40" s="23">
        <v>4.0</v>
      </c>
      <c r="H40" s="23">
        <f t="shared" si="4"/>
        <v>25</v>
      </c>
      <c r="I40" s="30"/>
      <c r="J40" s="30"/>
    </row>
    <row r="41" ht="18.0" customHeight="1" outlineLevel="1">
      <c r="A41" s="22" t="s">
        <v>91</v>
      </c>
      <c r="B41" s="23">
        <v>5.0</v>
      </c>
      <c r="C41" s="23">
        <v>3.0</v>
      </c>
      <c r="D41" s="23">
        <v>6.0</v>
      </c>
      <c r="E41" s="23">
        <v>4.0</v>
      </c>
      <c r="F41" s="23">
        <v>2.0</v>
      </c>
      <c r="G41" s="23">
        <v>8.0</v>
      </c>
      <c r="H41" s="23">
        <f t="shared" si="4"/>
        <v>23</v>
      </c>
      <c r="I41" s="30"/>
      <c r="J41" s="30"/>
    </row>
    <row r="42" ht="18.0" customHeight="1" outlineLevel="1">
      <c r="A42" s="22" t="s">
        <v>94</v>
      </c>
      <c r="B42" s="23">
        <v>3.0</v>
      </c>
      <c r="C42" s="23">
        <v>2.0</v>
      </c>
      <c r="D42" s="23">
        <v>6.0</v>
      </c>
      <c r="E42" s="23">
        <v>4.0</v>
      </c>
      <c r="F42" s="23">
        <v>2.0</v>
      </c>
      <c r="G42" s="23">
        <v>2.0</v>
      </c>
      <c r="H42" s="23">
        <f t="shared" si="4"/>
        <v>16</v>
      </c>
      <c r="I42" s="30"/>
      <c r="J42" s="30"/>
    </row>
    <row r="43" ht="18.0" customHeight="1" outlineLevel="1">
      <c r="A43" s="22" t="s">
        <v>95</v>
      </c>
      <c r="B43" s="23">
        <v>4.0</v>
      </c>
      <c r="C43" s="23">
        <v>3.0</v>
      </c>
      <c r="D43" s="23">
        <v>8.0</v>
      </c>
      <c r="E43" s="23">
        <v>2.0</v>
      </c>
      <c r="F43" s="23">
        <v>2.0</v>
      </c>
      <c r="G43" s="23">
        <v>2.0</v>
      </c>
      <c r="H43" s="23">
        <f t="shared" si="4"/>
        <v>17</v>
      </c>
      <c r="I43" s="30"/>
      <c r="J43" s="30"/>
    </row>
    <row r="44" ht="18.0" customHeight="1" outlineLevel="1">
      <c r="A44" s="40" t="s">
        <v>97</v>
      </c>
      <c r="B44" s="41"/>
      <c r="C44" s="42"/>
      <c r="D44" s="42"/>
      <c r="E44" s="42"/>
      <c r="F44" s="42"/>
      <c r="G44" s="42"/>
      <c r="H44" s="23">
        <f t="shared" si="4"/>
        <v>0</v>
      </c>
      <c r="I44" s="30"/>
      <c r="J44" s="30"/>
    </row>
    <row r="45" ht="18.0" customHeight="1" outlineLevel="1">
      <c r="A45" s="22" t="s">
        <v>99</v>
      </c>
      <c r="B45" s="23">
        <v>2.0</v>
      </c>
      <c r="C45" s="23">
        <v>2.0</v>
      </c>
      <c r="D45" s="23">
        <v>4.0</v>
      </c>
      <c r="E45" s="23">
        <v>4.0</v>
      </c>
      <c r="F45" s="23">
        <v>2.0</v>
      </c>
      <c r="G45" s="23">
        <v>2.0</v>
      </c>
      <c r="H45" s="23">
        <f t="shared" si="4"/>
        <v>14</v>
      </c>
      <c r="I45" s="30"/>
      <c r="J45" s="30"/>
    </row>
    <row r="46" ht="18.0" customHeight="1" outlineLevel="1">
      <c r="A46" s="22" t="s">
        <v>100</v>
      </c>
      <c r="B46" s="23">
        <v>3.0</v>
      </c>
      <c r="C46" s="23">
        <v>2.0</v>
      </c>
      <c r="D46" s="23">
        <v>6.0</v>
      </c>
      <c r="E46" s="23">
        <v>4.0</v>
      </c>
      <c r="F46" s="23">
        <v>2.0</v>
      </c>
      <c r="G46" s="23">
        <v>2.0</v>
      </c>
      <c r="H46" s="23">
        <f t="shared" si="4"/>
        <v>16</v>
      </c>
      <c r="I46" s="30"/>
      <c r="J46" s="30"/>
    </row>
    <row r="47" ht="18.0" customHeight="1" outlineLevel="1">
      <c r="A47" s="22" t="s">
        <v>101</v>
      </c>
      <c r="B47" s="23">
        <v>2.0</v>
      </c>
      <c r="C47" s="23">
        <v>2.0</v>
      </c>
      <c r="D47" s="23">
        <v>4.0</v>
      </c>
      <c r="E47" s="23">
        <v>4.0</v>
      </c>
      <c r="F47" s="23">
        <v>2.0</v>
      </c>
      <c r="G47" s="23">
        <v>2.0</v>
      </c>
      <c r="H47" s="23">
        <f t="shared" si="4"/>
        <v>14</v>
      </c>
      <c r="I47" s="30"/>
      <c r="J47" s="30"/>
    </row>
    <row r="48" ht="28.5" customHeight="1">
      <c r="A48" s="22" t="s">
        <v>102</v>
      </c>
      <c r="B48" s="23">
        <v>3.0</v>
      </c>
      <c r="C48" s="23">
        <v>2.0</v>
      </c>
      <c r="D48" s="23">
        <v>6.0</v>
      </c>
      <c r="E48" s="23">
        <v>4.0</v>
      </c>
      <c r="F48" s="23">
        <v>2.0</v>
      </c>
      <c r="G48" s="23">
        <v>4.0</v>
      </c>
      <c r="H48" s="23">
        <f t="shared" si="4"/>
        <v>18</v>
      </c>
      <c r="I48" s="30"/>
      <c r="J48" s="30"/>
    </row>
    <row r="49" ht="15.75" customHeight="1">
      <c r="A49" s="22" t="s">
        <v>103</v>
      </c>
      <c r="B49" s="23">
        <v>3.0</v>
      </c>
      <c r="C49" s="23">
        <v>2.0</v>
      </c>
      <c r="D49" s="23">
        <v>6.0</v>
      </c>
      <c r="E49" s="23">
        <v>4.0</v>
      </c>
      <c r="F49" s="23">
        <v>2.0</v>
      </c>
      <c r="G49" s="23">
        <v>2.0</v>
      </c>
      <c r="H49" s="23">
        <f t="shared" si="4"/>
        <v>16</v>
      </c>
      <c r="I49" s="30"/>
      <c r="J49" s="30"/>
    </row>
    <row r="50" ht="15.75" customHeight="1" outlineLevel="1">
      <c r="A50" s="22" t="s">
        <v>104</v>
      </c>
      <c r="B50" s="23">
        <v>4.0</v>
      </c>
      <c r="C50" s="23">
        <v>2.0</v>
      </c>
      <c r="D50" s="23">
        <v>8.0</v>
      </c>
      <c r="E50" s="23">
        <v>4.0</v>
      </c>
      <c r="F50" s="23">
        <v>2.0</v>
      </c>
      <c r="G50" s="23">
        <v>8.0</v>
      </c>
      <c r="H50" s="23">
        <f t="shared" si="4"/>
        <v>24</v>
      </c>
      <c r="I50" s="30"/>
      <c r="J50" s="30"/>
    </row>
    <row r="51" ht="15.75" customHeight="1" outlineLevel="1">
      <c r="A51" s="22" t="s">
        <v>106</v>
      </c>
      <c r="B51" s="23">
        <v>3.0</v>
      </c>
      <c r="C51" s="23">
        <v>2.0</v>
      </c>
      <c r="D51" s="23">
        <v>6.0</v>
      </c>
      <c r="E51" s="23">
        <v>4.0</v>
      </c>
      <c r="F51" s="23">
        <v>2.0</v>
      </c>
      <c r="G51" s="23">
        <v>2.0</v>
      </c>
      <c r="H51" s="23">
        <f t="shared" si="4"/>
        <v>16</v>
      </c>
      <c r="I51" s="30"/>
      <c r="J51" s="30"/>
    </row>
    <row r="52" ht="15.75" customHeight="1" outlineLevel="1">
      <c r="A52" s="22" t="s">
        <v>107</v>
      </c>
      <c r="B52" s="23">
        <v>3.0</v>
      </c>
      <c r="C52" s="23">
        <v>2.0</v>
      </c>
      <c r="D52" s="23">
        <v>6.0</v>
      </c>
      <c r="E52" s="23">
        <v>4.0</v>
      </c>
      <c r="F52" s="23">
        <v>2.0</v>
      </c>
      <c r="G52" s="23">
        <v>2.0</v>
      </c>
      <c r="H52" s="23">
        <f t="shared" si="4"/>
        <v>16</v>
      </c>
      <c r="I52" s="30"/>
      <c r="J52" s="30"/>
    </row>
    <row r="53" ht="28.5" customHeight="1" outlineLevel="1">
      <c r="A53" s="22" t="s">
        <v>108</v>
      </c>
      <c r="B53" s="23">
        <v>3.0</v>
      </c>
      <c r="C53" s="23">
        <v>2.0</v>
      </c>
      <c r="D53" s="23">
        <v>6.0</v>
      </c>
      <c r="E53" s="23">
        <v>4.0</v>
      </c>
      <c r="F53" s="23">
        <v>2.0</v>
      </c>
      <c r="G53" s="23">
        <v>2.0</v>
      </c>
      <c r="H53" s="23">
        <f t="shared" si="4"/>
        <v>16</v>
      </c>
      <c r="I53" s="30"/>
      <c r="J53" s="30"/>
    </row>
    <row r="54" ht="15.75" customHeight="1" outlineLevel="1">
      <c r="A54" s="40" t="s">
        <v>109</v>
      </c>
      <c r="B54" s="41"/>
      <c r="C54" s="52"/>
      <c r="D54" s="52"/>
      <c r="E54" s="52"/>
      <c r="F54" s="52"/>
      <c r="G54" s="52"/>
      <c r="H54" s="41"/>
      <c r="I54" s="30"/>
      <c r="J54" s="30"/>
    </row>
    <row r="55" ht="15.75" customHeight="1" outlineLevel="1">
      <c r="A55" s="22" t="s">
        <v>111</v>
      </c>
      <c r="B55" s="23">
        <v>2.0</v>
      </c>
      <c r="C55" s="23">
        <v>2.0</v>
      </c>
      <c r="D55" s="23">
        <v>4.0</v>
      </c>
      <c r="E55" s="23">
        <v>4.0</v>
      </c>
      <c r="F55" s="23">
        <v>2.0</v>
      </c>
      <c r="G55" s="23">
        <v>2.0</v>
      </c>
      <c r="H55" s="23">
        <f t="shared" ref="H55:H68" si="5">SUM(C55:G55)</f>
        <v>14</v>
      </c>
      <c r="I55" s="30"/>
      <c r="J55" s="30"/>
    </row>
    <row r="56" ht="15.75" customHeight="1" outlineLevel="1">
      <c r="A56" s="22" t="s">
        <v>112</v>
      </c>
      <c r="B56" s="23">
        <v>2.0</v>
      </c>
      <c r="C56" s="23">
        <v>2.0</v>
      </c>
      <c r="D56" s="23">
        <v>4.0</v>
      </c>
      <c r="E56" s="23">
        <v>2.0</v>
      </c>
      <c r="F56" s="23">
        <v>2.0</v>
      </c>
      <c r="G56" s="23">
        <v>2.0</v>
      </c>
      <c r="H56" s="23">
        <f t="shared" si="5"/>
        <v>12</v>
      </c>
      <c r="I56" s="30"/>
      <c r="J56" s="30"/>
    </row>
    <row r="57" ht="15.75" customHeight="1" outlineLevel="1">
      <c r="A57" s="22" t="s">
        <v>113</v>
      </c>
      <c r="B57" s="23">
        <v>3.0</v>
      </c>
      <c r="C57" s="23">
        <v>2.0</v>
      </c>
      <c r="D57" s="23">
        <v>4.0</v>
      </c>
      <c r="E57" s="23">
        <v>4.0</v>
      </c>
      <c r="F57" s="23">
        <v>2.0</v>
      </c>
      <c r="G57" s="23">
        <v>4.0</v>
      </c>
      <c r="H57" s="23">
        <f t="shared" si="5"/>
        <v>16</v>
      </c>
      <c r="I57" s="30"/>
      <c r="J57" s="30"/>
    </row>
    <row r="58" ht="15.75" customHeight="1">
      <c r="A58" s="22" t="s">
        <v>114</v>
      </c>
      <c r="B58" s="23">
        <v>3.0</v>
      </c>
      <c r="C58" s="23">
        <v>2.0</v>
      </c>
      <c r="D58" s="23">
        <v>4.0</v>
      </c>
      <c r="E58" s="23">
        <v>4.0</v>
      </c>
      <c r="F58" s="23">
        <v>2.0</v>
      </c>
      <c r="G58" s="23">
        <v>4.0</v>
      </c>
      <c r="H58" s="23">
        <f t="shared" si="5"/>
        <v>16</v>
      </c>
      <c r="I58" s="30"/>
      <c r="J58" s="30"/>
    </row>
    <row r="59" ht="15.75" customHeight="1">
      <c r="A59" s="22" t="s">
        <v>115</v>
      </c>
      <c r="B59" s="23">
        <v>5.0</v>
      </c>
      <c r="C59" s="23">
        <v>3.0</v>
      </c>
      <c r="D59" s="23">
        <v>10.0</v>
      </c>
      <c r="E59" s="23">
        <v>4.0</v>
      </c>
      <c r="F59" s="23">
        <v>4.0</v>
      </c>
      <c r="G59" s="23">
        <v>4.0</v>
      </c>
      <c r="H59" s="23">
        <f t="shared" si="5"/>
        <v>25</v>
      </c>
      <c r="I59" s="30"/>
      <c r="J59" s="30"/>
    </row>
    <row r="60" ht="15.75" customHeight="1">
      <c r="A60" s="22" t="s">
        <v>117</v>
      </c>
      <c r="B60" s="23">
        <v>4.0</v>
      </c>
      <c r="C60" s="23">
        <v>3.0</v>
      </c>
      <c r="D60" s="23">
        <v>8.0</v>
      </c>
      <c r="E60" s="23">
        <v>4.0</v>
      </c>
      <c r="F60" s="23">
        <v>4.0</v>
      </c>
      <c r="G60" s="23">
        <v>4.0</v>
      </c>
      <c r="H60" s="23">
        <f t="shared" si="5"/>
        <v>23</v>
      </c>
      <c r="I60" s="30"/>
      <c r="J60" s="30"/>
    </row>
    <row r="61" ht="15.75" customHeight="1">
      <c r="A61" s="22" t="s">
        <v>118</v>
      </c>
      <c r="B61" s="23">
        <v>5.0</v>
      </c>
      <c r="C61" s="23">
        <v>3.0</v>
      </c>
      <c r="D61" s="23">
        <v>6.0</v>
      </c>
      <c r="E61" s="23">
        <v>4.0</v>
      </c>
      <c r="F61" s="23">
        <v>2.0</v>
      </c>
      <c r="G61" s="23">
        <v>8.0</v>
      </c>
      <c r="H61" s="23">
        <f t="shared" si="5"/>
        <v>23</v>
      </c>
      <c r="I61" s="30"/>
      <c r="J61" s="30"/>
    </row>
    <row r="62" ht="15.75" customHeight="1">
      <c r="A62" s="22" t="s">
        <v>119</v>
      </c>
      <c r="B62" s="23">
        <v>4.0</v>
      </c>
      <c r="C62" s="23">
        <v>2.0</v>
      </c>
      <c r="D62" s="23">
        <v>4.0</v>
      </c>
      <c r="E62" s="23">
        <v>2.0</v>
      </c>
      <c r="F62" s="23">
        <v>2.0</v>
      </c>
      <c r="G62" s="23">
        <v>8.0</v>
      </c>
      <c r="H62" s="23">
        <f t="shared" si="5"/>
        <v>18</v>
      </c>
      <c r="I62" s="30"/>
      <c r="J62" s="30"/>
    </row>
    <row r="63" ht="15.75" customHeight="1">
      <c r="A63" s="22" t="s">
        <v>120</v>
      </c>
      <c r="B63" s="23">
        <v>4.0</v>
      </c>
      <c r="C63" s="23">
        <v>2.0</v>
      </c>
      <c r="D63" s="23">
        <v>4.0</v>
      </c>
      <c r="E63" s="23">
        <v>2.0</v>
      </c>
      <c r="F63" s="23">
        <v>2.0</v>
      </c>
      <c r="G63" s="23">
        <v>8.0</v>
      </c>
      <c r="H63" s="23">
        <f t="shared" si="5"/>
        <v>18</v>
      </c>
      <c r="I63" s="30"/>
      <c r="J63" s="30"/>
    </row>
    <row r="64" ht="15.75" customHeight="1">
      <c r="A64" s="22" t="s">
        <v>121</v>
      </c>
      <c r="B64" s="23">
        <v>2.0</v>
      </c>
      <c r="C64" s="23">
        <v>2.0</v>
      </c>
      <c r="D64" s="23">
        <v>4.0</v>
      </c>
      <c r="E64" s="23">
        <v>2.0</v>
      </c>
      <c r="F64" s="23">
        <v>2.0</v>
      </c>
      <c r="G64" s="23">
        <v>2.0</v>
      </c>
      <c r="H64" s="23">
        <f t="shared" si="5"/>
        <v>12</v>
      </c>
      <c r="I64" s="30"/>
      <c r="J64" s="30"/>
    </row>
    <row r="65" ht="15.75" customHeight="1">
      <c r="A65" s="22" t="s">
        <v>122</v>
      </c>
      <c r="B65" s="23">
        <v>2.0</v>
      </c>
      <c r="C65" s="23">
        <v>2.0</v>
      </c>
      <c r="D65" s="23">
        <v>4.0</v>
      </c>
      <c r="E65" s="23"/>
      <c r="F65" s="23">
        <v>2.0</v>
      </c>
      <c r="G65" s="23">
        <v>6.0</v>
      </c>
      <c r="H65" s="23">
        <f t="shared" si="5"/>
        <v>14</v>
      </c>
      <c r="I65" s="30"/>
      <c r="J65" s="30"/>
    </row>
    <row r="66" ht="15.75" customHeight="1">
      <c r="A66" s="22" t="s">
        <v>123</v>
      </c>
      <c r="B66" s="23">
        <v>3.0</v>
      </c>
      <c r="C66" s="23">
        <v>2.0</v>
      </c>
      <c r="D66" s="23">
        <v>4.0</v>
      </c>
      <c r="E66" s="23">
        <v>2.0</v>
      </c>
      <c r="F66" s="23">
        <v>2.0</v>
      </c>
      <c r="G66" s="23">
        <v>4.0</v>
      </c>
      <c r="H66" s="23">
        <f t="shared" si="5"/>
        <v>14</v>
      </c>
      <c r="I66" s="30"/>
      <c r="J66" s="30"/>
    </row>
    <row r="67" ht="15.75" customHeight="1">
      <c r="A67" s="22" t="s">
        <v>124</v>
      </c>
      <c r="B67" s="23">
        <v>4.0</v>
      </c>
      <c r="C67" s="23">
        <v>2.0</v>
      </c>
      <c r="D67" s="23">
        <v>6.0</v>
      </c>
      <c r="E67" s="23">
        <v>4.0</v>
      </c>
      <c r="F67" s="23">
        <v>2.0</v>
      </c>
      <c r="G67" s="23">
        <v>8.0</v>
      </c>
      <c r="H67" s="23">
        <f t="shared" si="5"/>
        <v>22</v>
      </c>
      <c r="I67" s="30"/>
      <c r="J67" s="30"/>
    </row>
    <row r="68" ht="15.75" customHeight="1">
      <c r="A68" s="22" t="s">
        <v>125</v>
      </c>
      <c r="B68" s="23">
        <v>3.0</v>
      </c>
      <c r="C68" s="23">
        <v>2.0</v>
      </c>
      <c r="D68" s="23">
        <v>4.0</v>
      </c>
      <c r="E68" s="23">
        <v>2.0</v>
      </c>
      <c r="F68" s="23">
        <v>2.0</v>
      </c>
      <c r="G68" s="23">
        <v>8.0</v>
      </c>
      <c r="H68" s="23">
        <f t="shared" si="5"/>
        <v>18</v>
      </c>
      <c r="I68" s="30"/>
      <c r="J68" s="30"/>
    </row>
    <row r="69" ht="15.75" customHeight="1">
      <c r="A69" s="40" t="s">
        <v>126</v>
      </c>
      <c r="B69" s="41"/>
      <c r="C69" s="41"/>
      <c r="D69" s="41"/>
      <c r="E69" s="41"/>
      <c r="F69" s="41"/>
      <c r="G69" s="41"/>
      <c r="H69" s="23"/>
      <c r="I69" s="30"/>
      <c r="J69" s="30"/>
    </row>
    <row r="70" ht="15.75" customHeight="1">
      <c r="A70" s="22" t="s">
        <v>127</v>
      </c>
      <c r="B70" s="23">
        <v>3.0</v>
      </c>
      <c r="C70" s="23">
        <v>3.0</v>
      </c>
      <c r="D70" s="23">
        <v>6.0</v>
      </c>
      <c r="E70" s="23">
        <v>4.0</v>
      </c>
      <c r="F70" s="23">
        <v>2.0</v>
      </c>
      <c r="G70" s="23">
        <v>2.0</v>
      </c>
      <c r="H70" s="23">
        <f t="shared" ref="H70:H71" si="6">SUM(C70:G70)</f>
        <v>17</v>
      </c>
      <c r="I70" s="30"/>
      <c r="J70" s="30"/>
    </row>
    <row r="71" ht="15.75" customHeight="1">
      <c r="A71" s="22" t="s">
        <v>128</v>
      </c>
      <c r="B71" s="23">
        <v>3.0</v>
      </c>
      <c r="C71" s="23">
        <v>3.0</v>
      </c>
      <c r="D71" s="23">
        <v>6.0</v>
      </c>
      <c r="E71" s="23">
        <v>4.0</v>
      </c>
      <c r="F71" s="23">
        <v>2.0</v>
      </c>
      <c r="G71" s="23">
        <v>2.0</v>
      </c>
      <c r="H71" s="23">
        <f t="shared" si="6"/>
        <v>17</v>
      </c>
      <c r="I71" s="30"/>
      <c r="J71" s="30"/>
    </row>
    <row r="72" ht="15.75" customHeight="1">
      <c r="A72" s="40" t="s">
        <v>129</v>
      </c>
      <c r="B72" s="41"/>
      <c r="C72" s="41"/>
      <c r="D72" s="41"/>
      <c r="E72" s="41"/>
      <c r="F72" s="41"/>
      <c r="G72" s="41"/>
      <c r="H72" s="23"/>
      <c r="I72" s="1"/>
      <c r="J72" s="1"/>
    </row>
    <row r="73" ht="15.75" customHeight="1">
      <c r="A73" s="53" t="s">
        <v>130</v>
      </c>
      <c r="B73" s="54">
        <v>3.0</v>
      </c>
      <c r="C73" s="54">
        <v>3.0</v>
      </c>
      <c r="D73" s="54">
        <v>6.0</v>
      </c>
      <c r="E73" s="54">
        <v>4.0</v>
      </c>
      <c r="F73" s="54">
        <v>2.0</v>
      </c>
      <c r="G73" s="54">
        <v>4.0</v>
      </c>
      <c r="H73" s="23">
        <f t="shared" ref="H73:H76" si="7">SUM(C73:G73)</f>
        <v>19</v>
      </c>
      <c r="I73" s="1"/>
      <c r="J73" s="1"/>
    </row>
    <row r="74" ht="15.75" customHeight="1">
      <c r="A74" s="53" t="s">
        <v>131</v>
      </c>
      <c r="B74" s="54">
        <v>2.0</v>
      </c>
      <c r="C74" s="54">
        <v>2.0</v>
      </c>
      <c r="D74" s="54">
        <v>4.0</v>
      </c>
      <c r="E74" s="54">
        <v>4.0</v>
      </c>
      <c r="F74" s="54">
        <v>2.0</v>
      </c>
      <c r="G74" s="54">
        <v>2.0</v>
      </c>
      <c r="H74" s="23">
        <f t="shared" si="7"/>
        <v>14</v>
      </c>
      <c r="I74" s="1"/>
      <c r="J74" s="1"/>
    </row>
    <row r="75" ht="15.75" customHeight="1">
      <c r="A75" s="53" t="s">
        <v>132</v>
      </c>
      <c r="B75" s="54">
        <v>4.0</v>
      </c>
      <c r="C75" s="54">
        <v>3.0</v>
      </c>
      <c r="D75" s="54">
        <v>6.0</v>
      </c>
      <c r="E75" s="54">
        <v>4.0</v>
      </c>
      <c r="F75" s="54">
        <v>2.0</v>
      </c>
      <c r="G75" s="54">
        <v>6.0</v>
      </c>
      <c r="H75" s="23">
        <f t="shared" si="7"/>
        <v>21</v>
      </c>
      <c r="I75" s="1"/>
      <c r="J75" s="1"/>
    </row>
    <row r="76" ht="15.75" customHeight="1">
      <c r="A76" s="53" t="s">
        <v>133</v>
      </c>
      <c r="B76" s="54">
        <v>3.0</v>
      </c>
      <c r="C76" s="54">
        <v>2.0</v>
      </c>
      <c r="D76" s="54">
        <v>6.0</v>
      </c>
      <c r="E76" s="54">
        <v>2.0</v>
      </c>
      <c r="F76" s="54">
        <v>2.0</v>
      </c>
      <c r="G76" s="54">
        <v>4.0</v>
      </c>
      <c r="H76" s="23">
        <f t="shared" si="7"/>
        <v>16</v>
      </c>
      <c r="I76" s="1"/>
      <c r="J76" s="1"/>
    </row>
    <row r="77" ht="15.75" customHeight="1">
      <c r="A77" s="31" t="s">
        <v>134</v>
      </c>
      <c r="B77" s="37">
        <v>0.0</v>
      </c>
      <c r="C77" s="38"/>
      <c r="D77" s="38"/>
      <c r="E77" s="38"/>
      <c r="F77" s="38"/>
      <c r="G77" s="38"/>
      <c r="H77" s="38"/>
      <c r="I77" s="1"/>
      <c r="J77" s="1"/>
    </row>
    <row r="78" ht="15.75" customHeight="1">
      <c r="A78" s="15" t="s">
        <v>135</v>
      </c>
      <c r="B78" s="17"/>
      <c r="C78" s="18" t="s">
        <v>17</v>
      </c>
      <c r="D78" s="18" t="s">
        <v>18</v>
      </c>
      <c r="E78" s="18" t="s">
        <v>19</v>
      </c>
      <c r="F78" s="18" t="s">
        <v>20</v>
      </c>
      <c r="G78" s="18" t="s">
        <v>21</v>
      </c>
      <c r="H78" s="19">
        <f>SUM(H79:H85)</f>
        <v>202</v>
      </c>
      <c r="I78" s="1"/>
      <c r="J78" s="1"/>
    </row>
    <row r="79" ht="15.75" customHeight="1">
      <c r="A79" s="53" t="s">
        <v>136</v>
      </c>
      <c r="B79" s="54">
        <v>3.0</v>
      </c>
      <c r="C79" s="54">
        <v>6.0</v>
      </c>
      <c r="D79" s="54">
        <v>6.0</v>
      </c>
      <c r="E79" s="54">
        <v>8.0</v>
      </c>
      <c r="F79" s="54">
        <v>4.0</v>
      </c>
      <c r="G79" s="54"/>
      <c r="H79" s="54">
        <f t="shared" ref="H79:H85" si="8">SUM(C79:G79)</f>
        <v>24</v>
      </c>
      <c r="I79" s="1"/>
      <c r="J79" s="1"/>
    </row>
    <row r="80" ht="15.75" customHeight="1">
      <c r="A80" s="53" t="s">
        <v>137</v>
      </c>
      <c r="B80" s="54">
        <v>5.0</v>
      </c>
      <c r="C80" s="54">
        <v>4.0</v>
      </c>
      <c r="D80" s="54">
        <v>6.0</v>
      </c>
      <c r="E80" s="54">
        <v>4.0</v>
      </c>
      <c r="F80" s="54">
        <v>16.0</v>
      </c>
      <c r="G80" s="54"/>
      <c r="H80" s="54">
        <f t="shared" si="8"/>
        <v>30</v>
      </c>
      <c r="I80" s="1"/>
      <c r="J80" s="1"/>
    </row>
    <row r="81" ht="15.75" customHeight="1">
      <c r="A81" s="53" t="s">
        <v>138</v>
      </c>
      <c r="B81" s="54">
        <v>5.0</v>
      </c>
      <c r="C81" s="54">
        <v>4.0</v>
      </c>
      <c r="D81" s="54">
        <v>6.0</v>
      </c>
      <c r="E81" s="54">
        <v>4.0</v>
      </c>
      <c r="F81" s="54">
        <v>16.0</v>
      </c>
      <c r="G81" s="54"/>
      <c r="H81" s="54">
        <f t="shared" si="8"/>
        <v>30</v>
      </c>
      <c r="I81" s="1"/>
      <c r="J81" s="1"/>
    </row>
    <row r="82" ht="15.75" customHeight="1">
      <c r="A82" s="53" t="s">
        <v>139</v>
      </c>
      <c r="B82" s="54">
        <v>5.0</v>
      </c>
      <c r="C82" s="54">
        <v>4.0</v>
      </c>
      <c r="D82" s="54">
        <v>2.0</v>
      </c>
      <c r="E82" s="54"/>
      <c r="F82" s="54">
        <v>16.0</v>
      </c>
      <c r="G82" s="54">
        <v>6.0</v>
      </c>
      <c r="H82" s="54">
        <f t="shared" si="8"/>
        <v>28</v>
      </c>
      <c r="I82" s="1"/>
      <c r="J82" s="1"/>
    </row>
    <row r="83" ht="15.75" customHeight="1">
      <c r="A83" s="53" t="s">
        <v>140</v>
      </c>
      <c r="B83" s="54">
        <v>5.0</v>
      </c>
      <c r="C83" s="54">
        <v>4.0</v>
      </c>
      <c r="D83" s="54">
        <v>2.0</v>
      </c>
      <c r="E83" s="54"/>
      <c r="F83" s="54">
        <v>16.0</v>
      </c>
      <c r="G83" s="54">
        <v>6.0</v>
      </c>
      <c r="H83" s="54">
        <f t="shared" si="8"/>
        <v>28</v>
      </c>
      <c r="I83" s="1"/>
      <c r="J83" s="1"/>
    </row>
    <row r="84" ht="15.75" customHeight="1">
      <c r="A84" s="53" t="s">
        <v>141</v>
      </c>
      <c r="B84" s="54">
        <v>5.0</v>
      </c>
      <c r="C84" s="54">
        <v>6.0</v>
      </c>
      <c r="D84" s="54">
        <v>2.0</v>
      </c>
      <c r="E84" s="54">
        <v>2.0</v>
      </c>
      <c r="F84" s="54">
        <v>14.0</v>
      </c>
      <c r="G84" s="54">
        <v>4.0</v>
      </c>
      <c r="H84" s="54">
        <f t="shared" si="8"/>
        <v>28</v>
      </c>
      <c r="I84" s="1"/>
      <c r="J84" s="1"/>
    </row>
    <row r="85" ht="15.75" customHeight="1">
      <c r="A85" s="53" t="s">
        <v>142</v>
      </c>
      <c r="B85" s="54">
        <v>5.0</v>
      </c>
      <c r="C85" s="54">
        <v>4.0</v>
      </c>
      <c r="D85" s="54">
        <v>8.0</v>
      </c>
      <c r="E85" s="54">
        <v>8.0</v>
      </c>
      <c r="F85" s="54">
        <v>8.0</v>
      </c>
      <c r="G85" s="54">
        <v>6.0</v>
      </c>
      <c r="H85" s="54">
        <f t="shared" si="8"/>
        <v>34</v>
      </c>
      <c r="I85" s="1"/>
      <c r="J85" s="1"/>
    </row>
    <row r="86" ht="15.75" customHeight="1">
      <c r="A86" s="31" t="s">
        <v>143</v>
      </c>
      <c r="B86" s="37">
        <v>0.0</v>
      </c>
      <c r="C86" s="38"/>
      <c r="D86" s="38"/>
      <c r="E86" s="38"/>
      <c r="F86" s="38"/>
      <c r="G86" s="38"/>
      <c r="H86" s="38"/>
      <c r="I86" s="1"/>
      <c r="J86" s="1"/>
    </row>
    <row r="87" ht="15.75" customHeight="1">
      <c r="A87" s="15" t="s">
        <v>144</v>
      </c>
      <c r="B87" s="17"/>
      <c r="C87" s="18" t="s">
        <v>17</v>
      </c>
      <c r="D87" s="18" t="s">
        <v>18</v>
      </c>
      <c r="E87" s="18" t="s">
        <v>19</v>
      </c>
      <c r="F87" s="18" t="s">
        <v>20</v>
      </c>
      <c r="G87" s="18" t="s">
        <v>21</v>
      </c>
      <c r="H87" s="19">
        <f>SUM(H88:H94)</f>
        <v>112</v>
      </c>
      <c r="I87" s="1"/>
      <c r="J87" s="1"/>
    </row>
    <row r="88" ht="15.75" customHeight="1">
      <c r="A88" s="53" t="s">
        <v>145</v>
      </c>
      <c r="B88" s="54">
        <v>3.0</v>
      </c>
      <c r="C88" s="54">
        <v>6.0</v>
      </c>
      <c r="D88" s="54">
        <v>8.0</v>
      </c>
      <c r="E88" s="54">
        <v>8.0</v>
      </c>
      <c r="F88" s="54">
        <v>4.0</v>
      </c>
      <c r="G88" s="54"/>
      <c r="H88" s="54">
        <f t="shared" ref="H88:H94" si="9">SUM(C88:G88)</f>
        <v>26</v>
      </c>
      <c r="I88" s="1"/>
      <c r="J88" s="1"/>
    </row>
    <row r="89" ht="15.75" customHeight="1">
      <c r="A89" s="53" t="s">
        <v>146</v>
      </c>
      <c r="B89" s="54">
        <v>3.0</v>
      </c>
      <c r="C89" s="54">
        <v>4.0</v>
      </c>
      <c r="D89" s="54">
        <v>8.0</v>
      </c>
      <c r="E89" s="54">
        <v>4.0</v>
      </c>
      <c r="F89" s="54">
        <v>4.0</v>
      </c>
      <c r="G89" s="54"/>
      <c r="H89" s="54">
        <f t="shared" si="9"/>
        <v>20</v>
      </c>
      <c r="I89" s="1"/>
      <c r="J89" s="1"/>
    </row>
    <row r="90" ht="15.75" customHeight="1">
      <c r="A90" s="53" t="s">
        <v>147</v>
      </c>
      <c r="B90" s="54">
        <v>3.0</v>
      </c>
      <c r="C90" s="54">
        <v>8.0</v>
      </c>
      <c r="D90" s="54">
        <v>2.0</v>
      </c>
      <c r="E90" s="54"/>
      <c r="F90" s="54">
        <v>2.0</v>
      </c>
      <c r="G90" s="54">
        <v>2.0</v>
      </c>
      <c r="H90" s="54">
        <f t="shared" si="9"/>
        <v>14</v>
      </c>
      <c r="I90" s="1"/>
      <c r="J90" s="1"/>
    </row>
    <row r="91" ht="15.75" customHeight="1">
      <c r="A91" s="53" t="s">
        <v>148</v>
      </c>
      <c r="B91" s="54">
        <v>3.0</v>
      </c>
      <c r="C91" s="54">
        <v>6.0</v>
      </c>
      <c r="D91" s="54">
        <v>2.0</v>
      </c>
      <c r="E91" s="54"/>
      <c r="F91" s="54">
        <v>2.0</v>
      </c>
      <c r="G91" s="54">
        <v>4.0</v>
      </c>
      <c r="H91" s="54">
        <f t="shared" si="9"/>
        <v>14</v>
      </c>
      <c r="I91" s="1"/>
      <c r="J91" s="1"/>
    </row>
    <row r="92" ht="15.75" customHeight="1">
      <c r="A92" s="53" t="s">
        <v>149</v>
      </c>
      <c r="B92" s="54">
        <v>2.0</v>
      </c>
      <c r="C92" s="54">
        <v>4.0</v>
      </c>
      <c r="D92" s="54">
        <v>2.0</v>
      </c>
      <c r="E92" s="54"/>
      <c r="F92" s="54">
        <v>2.0</v>
      </c>
      <c r="G92" s="54">
        <v>4.0</v>
      </c>
      <c r="H92" s="54">
        <f t="shared" si="9"/>
        <v>12</v>
      </c>
      <c r="I92" s="1"/>
      <c r="J92" s="1"/>
    </row>
    <row r="93" ht="15.75" customHeight="1">
      <c r="A93" s="53" t="s">
        <v>150</v>
      </c>
      <c r="B93" s="54">
        <v>2.0</v>
      </c>
      <c r="C93" s="54">
        <v>4.0</v>
      </c>
      <c r="D93" s="54">
        <v>2.0</v>
      </c>
      <c r="E93" s="54"/>
      <c r="F93" s="54">
        <v>2.0</v>
      </c>
      <c r="G93" s="54">
        <v>6.0</v>
      </c>
      <c r="H93" s="54">
        <f t="shared" si="9"/>
        <v>14</v>
      </c>
      <c r="I93" s="1"/>
      <c r="J93" s="1"/>
    </row>
    <row r="94" ht="15.75" customHeight="1">
      <c r="A94" s="53" t="s">
        <v>151</v>
      </c>
      <c r="B94" s="54">
        <v>2.0</v>
      </c>
      <c r="C94" s="54">
        <v>8.0</v>
      </c>
      <c r="D94" s="54">
        <v>2.0</v>
      </c>
      <c r="E94" s="54"/>
      <c r="F94" s="54">
        <v>2.0</v>
      </c>
      <c r="G94" s="54"/>
      <c r="H94" s="54">
        <f t="shared" si="9"/>
        <v>12</v>
      </c>
      <c r="I94" s="1"/>
      <c r="J94" s="1"/>
    </row>
    <row r="95" ht="15.75" customHeight="1">
      <c r="A95" s="31" t="s">
        <v>152</v>
      </c>
      <c r="B95" s="37">
        <v>0.0</v>
      </c>
      <c r="C95" s="38"/>
      <c r="D95" s="38"/>
      <c r="E95" s="38"/>
      <c r="F95" s="38"/>
      <c r="G95" s="38"/>
      <c r="H95" s="38"/>
      <c r="I95" s="1"/>
      <c r="J95" s="1"/>
    </row>
    <row r="96" ht="15.75" customHeight="1">
      <c r="A96" s="55" t="s">
        <v>153</v>
      </c>
      <c r="B96" s="8">
        <f t="shared" ref="B96:G96" si="10">SUM(B5:B94)</f>
        <v>262</v>
      </c>
      <c r="C96" s="8">
        <f t="shared" si="10"/>
        <v>263</v>
      </c>
      <c r="D96" s="8">
        <f t="shared" si="10"/>
        <v>441</v>
      </c>
      <c r="E96" s="8">
        <f t="shared" si="10"/>
        <v>284</v>
      </c>
      <c r="F96" s="8">
        <f t="shared" si="10"/>
        <v>228</v>
      </c>
      <c r="G96" s="8">
        <f t="shared" si="10"/>
        <v>237</v>
      </c>
      <c r="H96" s="8">
        <f>SUM(C96:G96)</f>
        <v>1453</v>
      </c>
      <c r="I96" s="1"/>
      <c r="J96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</sheetData>
  <mergeCells count="3">
    <mergeCell ref="A2:D2"/>
    <mergeCell ref="C4:G4"/>
    <mergeCell ref="K4:L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7.57"/>
    <col customWidth="1" min="2" max="2" width="31.0"/>
    <col customWidth="1" min="3" max="3" width="17.43"/>
    <col customWidth="1" min="4" max="4" width="15.57"/>
    <col customWidth="1" min="5" max="5" width="7.14"/>
    <col customWidth="1" min="6" max="6" width="30.29"/>
    <col customWidth="1" min="7" max="7" width="4.86"/>
    <col customWidth="1" min="8" max="8" width="30.43"/>
    <col customWidth="1" min="9" max="9" width="17.43"/>
    <col customWidth="1" min="10" max="10" width="14.0"/>
    <col customWidth="1" min="11" max="11" width="11.0"/>
    <col customWidth="1" min="12" max="12" width="55.43"/>
    <col customWidth="1" min="13" max="13" width="18.43"/>
    <col customWidth="1" min="14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8.5" customHeight="1">
      <c r="A2" s="2" t="s">
        <v>0</v>
      </c>
      <c r="B2" s="2" t="s">
        <v>2</v>
      </c>
      <c r="C2" s="2" t="s">
        <v>3</v>
      </c>
      <c r="D2" s="6" t="s">
        <v>4</v>
      </c>
      <c r="E2" s="2" t="s">
        <v>5</v>
      </c>
      <c r="F2" s="2" t="s">
        <v>6</v>
      </c>
      <c r="G2" s="1"/>
      <c r="H2" s="7" t="s">
        <v>7</v>
      </c>
      <c r="I2" s="9"/>
      <c r="J2" s="9"/>
      <c r="K2" s="10"/>
    </row>
    <row r="3">
      <c r="A3" s="12" t="s">
        <v>11</v>
      </c>
      <c r="B3" s="12" t="s">
        <v>12</v>
      </c>
      <c r="C3" s="12" t="s">
        <v>14</v>
      </c>
      <c r="D3" s="14">
        <v>12500.0</v>
      </c>
      <c r="E3" s="16">
        <v>34.0</v>
      </c>
      <c r="F3" s="20">
        <f t="shared" ref="F3:F7" si="1">D3*E3</f>
        <v>425000</v>
      </c>
      <c r="G3" s="1"/>
      <c r="H3" s="2" t="s">
        <v>2</v>
      </c>
      <c r="I3" s="2" t="s">
        <v>3</v>
      </c>
      <c r="J3" s="2" t="s">
        <v>25</v>
      </c>
      <c r="K3" s="2" t="s">
        <v>26</v>
      </c>
    </row>
    <row r="4">
      <c r="A4" s="24" t="s">
        <v>27</v>
      </c>
      <c r="B4" s="12" t="s">
        <v>18</v>
      </c>
      <c r="C4" s="25" t="s">
        <v>28</v>
      </c>
      <c r="D4" s="14">
        <v>9500.0</v>
      </c>
      <c r="E4" s="16">
        <v>31.0</v>
      </c>
      <c r="F4" s="20">
        <f t="shared" si="1"/>
        <v>294500</v>
      </c>
      <c r="G4" s="1"/>
      <c r="H4" s="12" t="s">
        <v>12</v>
      </c>
      <c r="I4" s="12" t="s">
        <v>14</v>
      </c>
      <c r="J4" s="14">
        <v>12500.0</v>
      </c>
      <c r="K4" s="14">
        <v>2250000.0</v>
      </c>
    </row>
    <row r="5">
      <c r="A5" s="24" t="s">
        <v>19</v>
      </c>
      <c r="B5" s="12" t="s">
        <v>30</v>
      </c>
      <c r="C5" s="12" t="s">
        <v>31</v>
      </c>
      <c r="D5" s="14">
        <v>9500.0</v>
      </c>
      <c r="E5" s="16">
        <v>8.0</v>
      </c>
      <c r="F5" s="20">
        <f t="shared" si="1"/>
        <v>76000</v>
      </c>
      <c r="G5" s="1"/>
      <c r="H5" s="12" t="s">
        <v>18</v>
      </c>
      <c r="I5" s="25" t="s">
        <v>28</v>
      </c>
      <c r="J5" s="14">
        <v>9500.0</v>
      </c>
      <c r="K5" s="14">
        <v>1710000.0</v>
      </c>
    </row>
    <row r="6">
      <c r="A6" s="24" t="s">
        <v>20</v>
      </c>
      <c r="B6" s="12" t="s">
        <v>33</v>
      </c>
      <c r="C6" s="12" t="s">
        <v>34</v>
      </c>
      <c r="D6" s="14">
        <v>5000.0</v>
      </c>
      <c r="E6" s="16">
        <v>8.0</v>
      </c>
      <c r="F6" s="20">
        <f t="shared" si="1"/>
        <v>40000</v>
      </c>
      <c r="G6" s="1"/>
      <c r="H6" s="12" t="s">
        <v>30</v>
      </c>
      <c r="I6" s="12" t="s">
        <v>31</v>
      </c>
      <c r="J6" s="14">
        <v>9500.0</v>
      </c>
      <c r="K6" s="14">
        <v>1710000.0</v>
      </c>
    </row>
    <row r="7">
      <c r="A7" s="24" t="s">
        <v>35</v>
      </c>
      <c r="B7" s="12" t="s">
        <v>37</v>
      </c>
      <c r="C7" s="12" t="s">
        <v>38</v>
      </c>
      <c r="D7" s="14">
        <v>5000.0</v>
      </c>
      <c r="E7" s="16">
        <v>6.0</v>
      </c>
      <c r="F7" s="20">
        <f t="shared" si="1"/>
        <v>30000</v>
      </c>
      <c r="G7" s="1"/>
      <c r="H7" s="12" t="s">
        <v>33</v>
      </c>
      <c r="I7" s="12" t="s">
        <v>34</v>
      </c>
      <c r="J7" s="14">
        <v>5000.0</v>
      </c>
      <c r="K7" s="14">
        <v>900000.0</v>
      </c>
    </row>
    <row r="8">
      <c r="A8" s="24"/>
      <c r="B8" s="29" t="s">
        <v>40</v>
      </c>
      <c r="C8" s="9"/>
      <c r="D8" s="9"/>
      <c r="E8" s="10"/>
      <c r="F8" s="20">
        <f>SUM(F3:F7)</f>
        <v>865500</v>
      </c>
      <c r="G8" s="1"/>
      <c r="H8" s="12" t="s">
        <v>37</v>
      </c>
      <c r="I8" s="12" t="s">
        <v>38</v>
      </c>
      <c r="J8" s="14">
        <v>5000.0</v>
      </c>
      <c r="K8" s="14">
        <v>900000.0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ht="28.5" customHeight="1">
      <c r="A11" s="2" t="s">
        <v>0</v>
      </c>
      <c r="B11" s="2" t="s">
        <v>2</v>
      </c>
      <c r="C11" s="2" t="s">
        <v>3</v>
      </c>
      <c r="D11" s="6" t="s">
        <v>43</v>
      </c>
      <c r="E11" s="2" t="s">
        <v>5</v>
      </c>
      <c r="F11" s="2" t="s">
        <v>44</v>
      </c>
      <c r="G11" s="1"/>
      <c r="H11" s="7" t="s">
        <v>46</v>
      </c>
      <c r="I11" s="10"/>
      <c r="J11" s="1"/>
      <c r="K11" s="1"/>
    </row>
    <row r="12">
      <c r="A12" s="12" t="s">
        <v>11</v>
      </c>
      <c r="B12" s="12" t="s">
        <v>12</v>
      </c>
      <c r="C12" s="12" t="s">
        <v>14</v>
      </c>
      <c r="D12" s="14">
        <v>12500.0</v>
      </c>
      <c r="E12" s="16">
        <v>38.0</v>
      </c>
      <c r="F12" s="20">
        <f t="shared" ref="F12:F16" si="2">D12*E12</f>
        <v>475000</v>
      </c>
      <c r="G12" s="1"/>
      <c r="H12" s="12" t="s">
        <v>12</v>
      </c>
      <c r="I12" s="20">
        <f t="shared" ref="I12:I16" si="3">F3+F12+F21+F31+F40</f>
        <v>3287500</v>
      </c>
      <c r="J12" s="1"/>
      <c r="K12" s="1"/>
    </row>
    <row r="13">
      <c r="A13" s="24" t="s">
        <v>27</v>
      </c>
      <c r="B13" s="12" t="s">
        <v>18</v>
      </c>
      <c r="C13" s="25" t="s">
        <v>28</v>
      </c>
      <c r="D13" s="14">
        <v>9500.0</v>
      </c>
      <c r="E13" s="16">
        <v>60.0</v>
      </c>
      <c r="F13" s="20">
        <f t="shared" si="2"/>
        <v>570000</v>
      </c>
      <c r="G13" s="1"/>
      <c r="H13" s="12" t="s">
        <v>18</v>
      </c>
      <c r="I13" s="20">
        <f t="shared" si="3"/>
        <v>4189500</v>
      </c>
      <c r="J13" s="1"/>
      <c r="K13" s="1"/>
    </row>
    <row r="14">
      <c r="A14" s="24" t="s">
        <v>19</v>
      </c>
      <c r="B14" s="12" t="s">
        <v>30</v>
      </c>
      <c r="C14" s="12" t="s">
        <v>31</v>
      </c>
      <c r="D14" s="14">
        <v>9500.0</v>
      </c>
      <c r="E14" s="16">
        <v>36.0</v>
      </c>
      <c r="F14" s="20">
        <f t="shared" si="2"/>
        <v>342000</v>
      </c>
      <c r="G14" s="1"/>
      <c r="H14" s="12" t="s">
        <v>30</v>
      </c>
      <c r="I14" s="20">
        <f t="shared" si="3"/>
        <v>2698000</v>
      </c>
      <c r="J14" s="1"/>
      <c r="K14" s="1"/>
    </row>
    <row r="15">
      <c r="A15" s="24" t="s">
        <v>20</v>
      </c>
      <c r="B15" s="12" t="s">
        <v>33</v>
      </c>
      <c r="C15" s="12" t="s">
        <v>34</v>
      </c>
      <c r="D15" s="14">
        <v>5000.0</v>
      </c>
      <c r="E15" s="16">
        <v>14.0</v>
      </c>
      <c r="F15" s="20">
        <f t="shared" si="2"/>
        <v>70000</v>
      </c>
      <c r="G15" s="1"/>
      <c r="H15" s="12" t="s">
        <v>33</v>
      </c>
      <c r="I15" s="20">
        <f t="shared" si="3"/>
        <v>1140000</v>
      </c>
      <c r="J15" s="1"/>
      <c r="K15" s="1"/>
    </row>
    <row r="16">
      <c r="A16" s="24" t="s">
        <v>35</v>
      </c>
      <c r="B16" s="12" t="s">
        <v>37</v>
      </c>
      <c r="C16" s="12" t="s">
        <v>38</v>
      </c>
      <c r="D16" s="14">
        <v>5000.0</v>
      </c>
      <c r="E16" s="16">
        <v>26.0</v>
      </c>
      <c r="F16" s="20">
        <f t="shared" si="2"/>
        <v>130000</v>
      </c>
      <c r="G16" s="1"/>
      <c r="H16" s="12" t="s">
        <v>37</v>
      </c>
      <c r="I16" s="20">
        <f t="shared" si="3"/>
        <v>1185000</v>
      </c>
      <c r="J16" s="1"/>
      <c r="K16" s="1"/>
    </row>
    <row r="17" ht="15.75" customHeight="1">
      <c r="A17" s="24"/>
      <c r="B17" s="29" t="s">
        <v>55</v>
      </c>
      <c r="C17" s="9"/>
      <c r="D17" s="9"/>
      <c r="E17" s="10"/>
      <c r="F17" s="20">
        <f>SUM(F12:F16)</f>
        <v>1587000</v>
      </c>
      <c r="G17" s="1"/>
      <c r="H17" s="35" t="s">
        <v>57</v>
      </c>
      <c r="I17" s="39">
        <f>SUM(I12:I16)</f>
        <v>12500000</v>
      </c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28.5" customHeight="1">
      <c r="A20" s="2" t="s">
        <v>0</v>
      </c>
      <c r="B20" s="2" t="s">
        <v>2</v>
      </c>
      <c r="C20" s="2" t="s">
        <v>3</v>
      </c>
      <c r="D20" s="6" t="s">
        <v>43</v>
      </c>
      <c r="E20" s="2" t="s">
        <v>5</v>
      </c>
      <c r="F20" s="2" t="s">
        <v>61</v>
      </c>
      <c r="G20" s="1"/>
      <c r="H20" s="7" t="s">
        <v>62</v>
      </c>
      <c r="I20" s="10"/>
      <c r="J20" s="1"/>
      <c r="L20" s="43" t="s">
        <v>64</v>
      </c>
      <c r="M20" s="10"/>
    </row>
    <row r="21" ht="15.75" customHeight="1">
      <c r="A21" s="12" t="s">
        <v>11</v>
      </c>
      <c r="B21" s="12" t="s">
        <v>12</v>
      </c>
      <c r="C21" s="12" t="s">
        <v>14</v>
      </c>
      <c r="D21" s="14">
        <v>12500.0</v>
      </c>
      <c r="E21" s="16">
        <v>119.0</v>
      </c>
      <c r="F21" s="20">
        <f t="shared" ref="F21:F25" si="4">D21*E21</f>
        <v>1487500</v>
      </c>
      <c r="G21" s="1"/>
      <c r="H21" s="24" t="s">
        <v>66</v>
      </c>
      <c r="I21" s="20">
        <f>F8</f>
        <v>865500</v>
      </c>
      <c r="J21" s="1"/>
      <c r="L21" s="12" t="s">
        <v>68</v>
      </c>
      <c r="M21" s="44" t="s">
        <v>69</v>
      </c>
    </row>
    <row r="22" ht="15.75" customHeight="1">
      <c r="A22" s="24" t="s">
        <v>27</v>
      </c>
      <c r="B22" s="12" t="s">
        <v>18</v>
      </c>
      <c r="C22" s="25" t="s">
        <v>28</v>
      </c>
      <c r="D22" s="14">
        <v>9500.0</v>
      </c>
      <c r="E22" s="16">
        <v>292.0</v>
      </c>
      <c r="F22" s="20">
        <f t="shared" si="4"/>
        <v>2774000</v>
      </c>
      <c r="G22" s="1"/>
      <c r="H22" s="24" t="s">
        <v>71</v>
      </c>
      <c r="I22" s="20">
        <f>F17</f>
        <v>1587000</v>
      </c>
      <c r="J22" s="1"/>
      <c r="L22" s="45" t="s">
        <v>73</v>
      </c>
      <c r="M22" s="46" t="s">
        <v>74</v>
      </c>
    </row>
    <row r="23" ht="15.75" customHeight="1">
      <c r="A23" s="24" t="s">
        <v>19</v>
      </c>
      <c r="B23" s="12" t="s">
        <v>30</v>
      </c>
      <c r="C23" s="12" t="s">
        <v>31</v>
      </c>
      <c r="D23" s="14">
        <v>9500.0</v>
      </c>
      <c r="E23" s="16">
        <v>202.0</v>
      </c>
      <c r="F23" s="20">
        <f t="shared" si="4"/>
        <v>1919000</v>
      </c>
      <c r="G23" s="1"/>
      <c r="H23" s="24" t="s">
        <v>52</v>
      </c>
      <c r="I23" s="20">
        <f>F27</f>
        <v>7505500</v>
      </c>
      <c r="J23" s="1"/>
      <c r="L23" s="47" t="s">
        <v>77</v>
      </c>
      <c r="M23" s="48">
        <f>(45000*4)+120000</f>
        <v>300000</v>
      </c>
    </row>
    <row r="24" ht="15.75" customHeight="1">
      <c r="A24" s="24" t="s">
        <v>20</v>
      </c>
      <c r="B24" s="12" t="s">
        <v>33</v>
      </c>
      <c r="C24" s="12" t="s">
        <v>34</v>
      </c>
      <c r="D24" s="14">
        <v>5000.0</v>
      </c>
      <c r="E24" s="16">
        <v>98.0</v>
      </c>
      <c r="F24" s="20">
        <f t="shared" si="4"/>
        <v>490000</v>
      </c>
      <c r="G24" s="1"/>
      <c r="H24" s="24" t="s">
        <v>80</v>
      </c>
      <c r="I24" s="20">
        <f>F36</f>
        <v>1511000</v>
      </c>
      <c r="J24" s="1"/>
    </row>
    <row r="25" ht="15.75" customHeight="1">
      <c r="A25" s="24" t="s">
        <v>35</v>
      </c>
      <c r="B25" s="12" t="s">
        <v>37</v>
      </c>
      <c r="C25" s="12" t="s">
        <v>38</v>
      </c>
      <c r="D25" s="14">
        <v>5000.0</v>
      </c>
      <c r="E25" s="16">
        <v>167.0</v>
      </c>
      <c r="F25" s="20">
        <f t="shared" si="4"/>
        <v>835000</v>
      </c>
      <c r="G25" s="1"/>
      <c r="H25" s="24" t="s">
        <v>82</v>
      </c>
      <c r="I25" s="20">
        <f>F45</f>
        <v>1031000</v>
      </c>
      <c r="J25" s="1"/>
    </row>
    <row r="26" ht="15.75" customHeight="1">
      <c r="A26" s="24"/>
      <c r="B26" s="49"/>
      <c r="C26" s="49"/>
      <c r="D26" s="49"/>
      <c r="E26" s="49"/>
      <c r="F26" s="20"/>
      <c r="G26" s="1"/>
      <c r="H26" s="50" t="s">
        <v>85</v>
      </c>
      <c r="I26" s="46">
        <v>300000.0</v>
      </c>
      <c r="J26" s="1"/>
    </row>
    <row r="27" ht="15.75" customHeight="1">
      <c r="A27" s="24"/>
      <c r="B27" s="29" t="s">
        <v>87</v>
      </c>
      <c r="C27" s="9"/>
      <c r="D27" s="9"/>
      <c r="E27" s="10"/>
      <c r="F27" s="20">
        <f>SUM(F21:F25)</f>
        <v>7505500</v>
      </c>
      <c r="G27" s="1"/>
      <c r="H27" s="35" t="s">
        <v>89</v>
      </c>
      <c r="I27" s="39">
        <f>SUM(I21:I26)</f>
        <v>12800000</v>
      </c>
      <c r="J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28.5" customHeight="1">
      <c r="A30" s="2" t="s">
        <v>0</v>
      </c>
      <c r="B30" s="2" t="s">
        <v>2</v>
      </c>
      <c r="C30" s="2" t="s">
        <v>3</v>
      </c>
      <c r="D30" s="6" t="s">
        <v>43</v>
      </c>
      <c r="E30" s="2" t="s">
        <v>5</v>
      </c>
      <c r="F30" s="2" t="s">
        <v>92</v>
      </c>
      <c r="G30" s="1"/>
      <c r="H30" s="2" t="s">
        <v>93</v>
      </c>
      <c r="I30" s="51">
        <v>0.6</v>
      </c>
      <c r="J30" s="1"/>
      <c r="K30" s="1"/>
    </row>
    <row r="31" ht="15.75" customHeight="1">
      <c r="A31" s="12" t="s">
        <v>11</v>
      </c>
      <c r="B31" s="12" t="s">
        <v>12</v>
      </c>
      <c r="C31" s="12" t="s">
        <v>14</v>
      </c>
      <c r="D31" s="14">
        <v>12500.0</v>
      </c>
      <c r="E31" s="16">
        <v>32.0</v>
      </c>
      <c r="F31" s="20">
        <f t="shared" ref="F31:F35" si="5">D31*E31</f>
        <v>400000</v>
      </c>
      <c r="G31" s="1"/>
      <c r="H31" s="24" t="s">
        <v>96</v>
      </c>
      <c r="I31" s="20">
        <f>I27*I30</f>
        <v>7680000</v>
      </c>
      <c r="J31" s="1"/>
      <c r="K31" s="1"/>
    </row>
    <row r="32" ht="15.75" customHeight="1">
      <c r="A32" s="24" t="s">
        <v>27</v>
      </c>
      <c r="B32" s="12" t="s">
        <v>18</v>
      </c>
      <c r="C32" s="25" t="s">
        <v>28</v>
      </c>
      <c r="D32" s="14">
        <v>9500.0</v>
      </c>
      <c r="E32" s="16">
        <v>32.0</v>
      </c>
      <c r="F32" s="20">
        <f t="shared" si="5"/>
        <v>304000</v>
      </c>
      <c r="G32" s="1"/>
      <c r="H32" s="24" t="s">
        <v>98</v>
      </c>
      <c r="I32" s="20">
        <f>I27+I31</f>
        <v>20480000</v>
      </c>
      <c r="J32" s="1"/>
      <c r="K32" s="1"/>
    </row>
    <row r="33" ht="15.75" customHeight="1">
      <c r="A33" s="24" t="s">
        <v>19</v>
      </c>
      <c r="B33" s="12" t="s">
        <v>30</v>
      </c>
      <c r="C33" s="12" t="s">
        <v>31</v>
      </c>
      <c r="D33" s="14">
        <v>9500.0</v>
      </c>
      <c r="E33" s="16">
        <v>26.0</v>
      </c>
      <c r="F33" s="20">
        <f t="shared" si="5"/>
        <v>247000</v>
      </c>
      <c r="G33" s="1"/>
      <c r="H33" s="1"/>
      <c r="I33" s="1"/>
      <c r="J33" s="1"/>
      <c r="K33" s="1"/>
    </row>
    <row r="34" ht="15.75" customHeight="1">
      <c r="A34" s="24" t="s">
        <v>20</v>
      </c>
      <c r="B34" s="12" t="s">
        <v>33</v>
      </c>
      <c r="C34" s="12" t="s">
        <v>34</v>
      </c>
      <c r="D34" s="14">
        <v>5000.0</v>
      </c>
      <c r="E34" s="16">
        <v>90.0</v>
      </c>
      <c r="F34" s="20">
        <f t="shared" si="5"/>
        <v>450000</v>
      </c>
      <c r="G34" s="1"/>
      <c r="H34" s="1"/>
      <c r="I34" s="1"/>
      <c r="J34" s="1"/>
      <c r="K34" s="1"/>
    </row>
    <row r="35" ht="15.75" customHeight="1">
      <c r="A35" s="24" t="s">
        <v>35</v>
      </c>
      <c r="B35" s="12" t="s">
        <v>37</v>
      </c>
      <c r="C35" s="12" t="s">
        <v>38</v>
      </c>
      <c r="D35" s="14">
        <v>5000.0</v>
      </c>
      <c r="E35" s="16">
        <v>22.0</v>
      </c>
      <c r="F35" s="20">
        <f t="shared" si="5"/>
        <v>110000</v>
      </c>
      <c r="G35" s="1"/>
      <c r="H35" s="1"/>
      <c r="I35" s="1"/>
      <c r="J35" s="1"/>
      <c r="K35" s="1"/>
    </row>
    <row r="36" ht="15.75" customHeight="1">
      <c r="A36" s="24"/>
      <c r="B36" s="29" t="s">
        <v>105</v>
      </c>
      <c r="C36" s="9"/>
      <c r="D36" s="9"/>
      <c r="E36" s="10"/>
      <c r="F36" s="20">
        <f>SUM(F31:F35)</f>
        <v>1511000</v>
      </c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28.5" customHeight="1">
      <c r="A39" s="2" t="s">
        <v>0</v>
      </c>
      <c r="B39" s="2" t="s">
        <v>2</v>
      </c>
      <c r="C39" s="2" t="s">
        <v>3</v>
      </c>
      <c r="D39" s="6" t="s">
        <v>43</v>
      </c>
      <c r="E39" s="2" t="s">
        <v>5</v>
      </c>
      <c r="F39" s="6" t="s">
        <v>110</v>
      </c>
      <c r="G39" s="1"/>
      <c r="H39" s="1"/>
      <c r="I39" s="1"/>
      <c r="J39" s="1"/>
      <c r="K39" s="1"/>
    </row>
    <row r="40" ht="15.75" customHeight="1">
      <c r="A40" s="12" t="s">
        <v>11</v>
      </c>
      <c r="B40" s="12" t="s">
        <v>12</v>
      </c>
      <c r="C40" s="12" t="s">
        <v>14</v>
      </c>
      <c r="D40" s="14">
        <v>12500.0</v>
      </c>
      <c r="E40" s="16">
        <v>40.0</v>
      </c>
      <c r="F40" s="20">
        <f t="shared" ref="F40:F44" si="6">D40*E40</f>
        <v>500000</v>
      </c>
      <c r="G40" s="1"/>
      <c r="H40" s="1"/>
      <c r="I40" s="1"/>
      <c r="J40" s="1"/>
      <c r="K40" s="1"/>
    </row>
    <row r="41" ht="15.75" customHeight="1">
      <c r="A41" s="24" t="s">
        <v>27</v>
      </c>
      <c r="B41" s="12" t="s">
        <v>18</v>
      </c>
      <c r="C41" s="25" t="s">
        <v>28</v>
      </c>
      <c r="D41" s="14">
        <v>9500.0</v>
      </c>
      <c r="E41" s="16">
        <v>26.0</v>
      </c>
      <c r="F41" s="20">
        <f t="shared" si="6"/>
        <v>247000</v>
      </c>
      <c r="G41" s="1"/>
      <c r="H41" s="1"/>
      <c r="I41" s="1"/>
      <c r="J41" s="1"/>
      <c r="K41" s="1"/>
    </row>
    <row r="42" ht="15.75" customHeight="1">
      <c r="A42" s="24" t="s">
        <v>19</v>
      </c>
      <c r="B42" s="12" t="s">
        <v>30</v>
      </c>
      <c r="C42" s="12" t="s">
        <v>31</v>
      </c>
      <c r="D42" s="14">
        <v>9500.0</v>
      </c>
      <c r="E42" s="16">
        <v>12.0</v>
      </c>
      <c r="F42" s="20">
        <f t="shared" si="6"/>
        <v>114000</v>
      </c>
      <c r="G42" s="1"/>
      <c r="H42" s="1"/>
      <c r="I42" s="1"/>
      <c r="J42" s="1"/>
      <c r="K42" s="1"/>
    </row>
    <row r="43" ht="15.75" customHeight="1">
      <c r="A43" s="24" t="s">
        <v>20</v>
      </c>
      <c r="B43" s="12" t="s">
        <v>33</v>
      </c>
      <c r="C43" s="12" t="s">
        <v>34</v>
      </c>
      <c r="D43" s="14">
        <v>5000.0</v>
      </c>
      <c r="E43" s="16">
        <v>18.0</v>
      </c>
      <c r="F43" s="20">
        <f t="shared" si="6"/>
        <v>90000</v>
      </c>
      <c r="G43" s="1"/>
      <c r="H43" s="1"/>
      <c r="I43" s="1"/>
      <c r="J43" s="1"/>
      <c r="K43" s="1"/>
    </row>
    <row r="44" ht="15.75" customHeight="1">
      <c r="A44" s="24" t="s">
        <v>35</v>
      </c>
      <c r="B44" s="12" t="s">
        <v>37</v>
      </c>
      <c r="C44" s="12" t="s">
        <v>38</v>
      </c>
      <c r="D44" s="14">
        <v>5000.0</v>
      </c>
      <c r="E44" s="16">
        <v>16.0</v>
      </c>
      <c r="F44" s="20">
        <f t="shared" si="6"/>
        <v>80000</v>
      </c>
      <c r="G44" s="1"/>
      <c r="H44" s="1"/>
      <c r="I44" s="1"/>
      <c r="J44" s="1"/>
      <c r="K44" s="1"/>
    </row>
    <row r="45" ht="15.75" customHeight="1">
      <c r="A45" s="24"/>
      <c r="B45" s="29" t="s">
        <v>116</v>
      </c>
      <c r="C45" s="9"/>
      <c r="D45" s="9"/>
      <c r="E45" s="10"/>
      <c r="F45" s="20">
        <f>SUM(F40:F44)</f>
        <v>1031000</v>
      </c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</sheetData>
  <mergeCells count="9">
    <mergeCell ref="B36:E36"/>
    <mergeCell ref="B45:E45"/>
    <mergeCell ref="H2:K2"/>
    <mergeCell ref="B8:E8"/>
    <mergeCell ref="H11:I11"/>
    <mergeCell ref="B17:E17"/>
    <mergeCell ref="H20:I20"/>
    <mergeCell ref="L20:M20"/>
    <mergeCell ref="B27:E2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