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288fb1159843f7" /></Relationships>
</file>

<file path=xl/workbook.xml><?xml version="1.0" encoding="utf-8"?>
<x:workbook xmlns:x="http://schemas.openxmlformats.org/spreadsheetml/2006/main">
  <x:sheets>
    <x:sheet xmlns:r="http://schemas.openxmlformats.org/officeDocument/2006/relationships" name="Flujo de caja" sheetId="1" r:id="R336628c1592f495f"/>
    <x:sheet xmlns:r="http://schemas.openxmlformats.org/officeDocument/2006/relationships" name="Supuestos" sheetId="2" r:id="R61312d88cc414fd3"/>
    <x:sheet xmlns:r="http://schemas.openxmlformats.org/officeDocument/2006/relationships" name="Alcance y beneficios" sheetId="3" r:id="R8f485b2f41944fd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quot;–&quot;"/>
    <x:numFmt numFmtId="202" formatCode="#,##0.00;(#,##0.00);0.00"/>
  </x:numFmts>
  <x:fonts count="7">
    <x:font>
      <x:sz val="11"/>
      <x:name val="Carlito"/>
    </x:font>
    <x:font>
      <x:sz val="11"/>
      <x:color rgb="FF142B43"/>
      <x:name val="Calibri"/>
    </x:font>
    <x:font>
      <x:b/>
      <x:sz val="16"/>
      <x:color rgb="FFFFFFFF"/>
      <x:name val="Calibri"/>
    </x:font>
    <x:font>
      <x:sz val="11"/>
      <x:color rgb="FF0000FF"/>
      <x:name val="Calibri"/>
    </x:font>
    <x:font>
      <x:b/>
      <x:sz val="11"/>
      <x:color rgb="FFFFFFFF"/>
      <x:name val="Calibri"/>
    </x:font>
    <x:font>
      <x:b/>
      <x:sz val="11"/>
      <x:color rgb="FF142B43"/>
      <x:name val="Calibri"/>
    </x:font>
    <x:font>
      <x:b/>
      <x:sz val="11"/>
      <x:color rgb="FF007F8B"/>
      <x:name val="Calibri"/>
    </x:font>
  </x:fonts>
  <x:fills count="4">
    <x:fill>
      <x:patternFill patternType="none"/>
    </x:fill>
    <x:fill>
      <x:patternFill patternType="gray125"/>
    </x:fill>
    <x:fill>
      <x:patternFill patternType="solid">
        <x:fgColor rgb="FF142B43"/>
      </x:patternFill>
    </x:fill>
    <x:fill>
      <x:patternFill patternType="solid">
        <x:fgColor rgb="FFEAF4F5"/>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1" fontId="3"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cellXfs>
  <x:cellStyles count="1">
    <x:cellStyle name="Normal" xfId="0"/>
  </x:cellStyles>
  <x:dxfs count="1">
    <x:dxf>
      <x:font>
        <x:b/>
        <x:color rgb="FFB22222"/>
      </x:font>
      <x:fill>
        <x:patternFill patternType="solid">
          <x:bgColor rgb="FFFFE5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f1aca616844df1" /><Relationship Type="http://schemas.openxmlformats.org/officeDocument/2006/relationships/theme" Target="/xl/theme/theme1.xml" Id="R2bb56a178b2448e9" /><Relationship Type="http://schemas.openxmlformats.org/officeDocument/2006/relationships/sharedStrings" Target="/xl/sharedStrings.xml" Id="R769f9bb3bde84daa" /><Relationship Type="http://schemas.openxmlformats.org/officeDocument/2006/relationships/worksheet" Target="/xl/worksheets/sheet1.xml" Id="R336628c1592f495f" /><Relationship Type="http://schemas.openxmlformats.org/officeDocument/2006/relationships/worksheet" Target="/xl/worksheets/sheet2.xml" Id="R61312d88cc414fd3" /><Relationship Type="http://schemas.openxmlformats.org/officeDocument/2006/relationships/worksheet" Target="/xl/worksheets/sheet3.xml" Id="R8f485b2f41944fde" /></Relationships>
</file>

<file path=xl/drawings/_rels/drawing1.xml.rels>&#65279;<?xml version="1.0" encoding="utf-8"?><Relationships xmlns="http://schemas.openxmlformats.org/package/2006/relationships"><Relationship Type="http://schemas.openxmlformats.org/officeDocument/2006/relationships/chart" Target="/xl/drawings/charts/chart1.xml" Id="Rf8129b4fb351401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a:latin typeface="Calibri"/>
                <a:ea typeface="Calibri"/>
                <a:cs typeface="Calibri"/>
              </a:rPr>
              <a:t>Caja acumulada (CLP)</a:t>
            </a:r>
          </a:p>
        </c:rich>
      </c:tx>
      <c:overlay val="0"/>
      <c:txPr>
        <a:bodyPr xmlns:a="http://schemas.openxmlformats.org/drawingml/2006/main" anchorCtr="1"/>
        <a:lstStyle xmlns:a="http://schemas.openxmlformats.org/drawingml/2006/main"/>
        <a:p xmlns:a="http://schemas.openxmlformats.org/drawingml/2006/main">
          <a:pPr>
            <a:defRPr sz="1200">
              <a:latin typeface="Calibri"/>
              <a:ea typeface="Calibri"/>
              <a:cs typeface="Calibri"/>
            </a:defRPr>
          </a:pPr>
        </a:p>
      </c:txPr>
    </c:title>
    <c:plotArea>
      <c:lineChart>
        <c:grouping val="standard"/>
        <c:varyColors val="0"/>
        <c:ser>
          <c:idx val="0"/>
          <c:order val="0"/>
          <c:tx>
            <c:v>Caja acumulada</c:v>
          </c:tx>
          <c:marker>
            <c:symbol val="none"/>
          </c:marker>
          <c:cat>
            <c:strRef>
              <c:f>'Flujo de caja'!$A$36:$A$47</c:f>
              <c:strCache>
                <c:ptCount val="0"/>
              </c:strCache>
            </c:strRef>
          </c:cat>
          <c:val>
            <c:numRef>
              <c:f>'Flujo de caja'!$B$36:$B$47</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Calibri"/>
                <a:ea typeface="Calibri"/>
                <a:cs typeface="Calibri"/>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 M&quot;"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Calibri"/>
                <a:ea typeface="Calibri"/>
                <a:cs typeface="Calibri"/>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Calibri"/>
              <a:ea typeface="Calibri"/>
              <a:cs typeface="Calibri"/>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33</xdr:row>
      <xdr:rowOff>0</xdr:rowOff>
    </xdr:from>
    <xdr:to>
      <xdr:col>14</xdr:col>
      <xdr:colOff>0</xdr:colOff>
      <xdr:row>51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129b4fb351401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a355f50c76a4b05"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32" customHeight="1">
      <x:c r="A1" s="4" t="str">
        <x:v>NovaFit · Flujo de caja del proveedor · CLP</x:v>
      </x:c>
      <x:c r="B1" s="4"/>
      <x:c r="C1" s="4"/>
      <x:c r="D1" s="4"/>
      <x:c r="E1" s="4"/>
      <x:c r="F1" s="4"/>
      <x:c r="G1" s="4"/>
      <x:c r="H1" s="4"/>
      <x:c r="I1" s="4"/>
      <x:c r="J1" s="4"/>
      <x:c r="K1" s="4"/>
      <x:c r="L1" s="4"/>
      <x:c r="M1" s="4"/>
      <x:c r="N1" s="4"/>
    </x:row>
    <x:row r="2" ht="25" customHeight="1">
      <x:c r="A2" s="5" t="str">
        <x:v>Escenario ilustrativo, antes de impuestos y financiación. Meses relativos al inicio del contrato. Precio y cobros por aprobar. Soporte y mantenimiento: un solo servicio mensual que incluye hosting.</x:v>
      </x:c>
      <x:c r="B2" s="5"/>
      <x:c r="C2" s="5"/>
      <x:c r="D2" s="5"/>
      <x:c r="E2" s="5"/>
      <x:c r="F2" s="5"/>
      <x:c r="G2" s="5"/>
      <x:c r="H2" s="5"/>
      <x:c r="I2" s="5"/>
      <x:c r="J2" s="5"/>
      <x:c r="K2" s="5"/>
      <x:c r="L2" s="5"/>
      <x:c r="M2" s="5"/>
      <x:c r="N2" s="5"/>
    </x:row>
    <x:row r="3" ht="25" customHeight="1">
      <x:c r="A3" s="5"/>
      <x:c r="B3" s="5"/>
      <x:c r="C3" s="5"/>
      <x:c r="D3" s="5"/>
      <x:c r="E3" s="5"/>
      <x:c r="F3" s="5"/>
      <x:c r="G3" s="5"/>
      <x:c r="H3" s="5"/>
      <x:c r="I3" s="5"/>
      <x:c r="J3" s="5"/>
      <x:c r="K3" s="5"/>
      <x:c r="L3" s="5"/>
      <x:c r="M3" s="5"/>
      <x:c r="N3" s="5"/>
    </x:row>
    <x:row r="4" ht="25" customHeight="1">
      <x:c r="A4" s="2"/>
      <x:c r="B4" s="2"/>
      <x:c r="C4" s="2"/>
      <x:c r="D4" s="2"/>
      <x:c r="E4" s="2"/>
      <x:c r="F4" s="2"/>
      <x:c r="G4" s="2"/>
      <x:c r="H4" s="2"/>
      <x:c r="I4" s="2"/>
      <x:c r="J4" s="2"/>
      <x:c r="K4" s="2"/>
      <x:c r="L4" s="2"/>
      <x:c r="M4" s="2"/>
      <x:c r="N4" s="2"/>
    </x:row>
    <x:row r="5" ht="30" customHeight="1">
      <x:c r="A5" s="13" t="str">
        <x:v>Movimiento</x:v>
      </x:c>
      <x:c r="B5" s="13" t="str">
        <x:v>M1</x:v>
      </x:c>
      <x:c r="C5" s="13" t="str">
        <x:v>M2</x:v>
      </x:c>
      <x:c r="D5" s="13" t="str">
        <x:v>M3</x:v>
      </x:c>
      <x:c r="E5" s="13" t="str">
        <x:v>M4</x:v>
      </x:c>
      <x:c r="F5" s="13" t="str">
        <x:v>M5</x:v>
      </x:c>
      <x:c r="G5" s="13" t="str">
        <x:v>M6</x:v>
      </x:c>
      <x:c r="H5" s="13" t="str">
        <x:v>M7</x:v>
      </x:c>
      <x:c r="I5" s="13" t="str">
        <x:v>M8</x:v>
      </x:c>
      <x:c r="J5" s="13" t="str">
        <x:v>M9</x:v>
      </x:c>
      <x:c r="K5" s="13" t="str">
        <x:v>M10</x:v>
      </x:c>
      <x:c r="L5" s="13" t="str">
        <x:v>M11</x:v>
      </x:c>
      <x:c r="M5" s="13" t="str">
        <x:v>M12</x:v>
      </x:c>
      <x:c r="N5" s="13" t="str">
        <x:v>12 meses</x:v>
      </x:c>
    </x:row>
    <x:row r="6" ht="25" customHeight="1">
      <x:c r="A6" s="2"/>
      <x:c r="B6" s="2"/>
      <x:c r="C6" s="2"/>
      <x:c r="D6" s="2"/>
      <x:c r="E6" s="2"/>
      <x:c r="F6" s="2"/>
      <x:c r="G6" s="2"/>
      <x:c r="H6" s="2"/>
      <x:c r="I6" s="2"/>
      <x:c r="J6" s="2"/>
      <x:c r="K6" s="2"/>
      <x:c r="L6" s="2"/>
      <x:c r="M6" s="2"/>
      <x:c r="N6" s="2"/>
    </x:row>
    <x:row r="7" ht="25" customHeight="1">
      <x:c r="A7" s="2" t="str">
        <x:v>Caja inicial del mes</x:v>
      </x:c>
      <x:c r="B7" s="8" t="n">
        <x:f>'Supuestos'!$B$12</x:f>
        <x:v>0</x:v>
      </x:c>
      <x:c r="C7" s="8" t="n">
        <x:f>B21</x:f>
        <x:v>3526500</x:v>
      </x:c>
      <x:c r="D7" s="8" t="n">
        <x:f>C21</x:f>
        <x:v>-271250</x:v>
      </x:c>
      <x:c r="E7" s="8" t="n">
        <x:f>D21</x:f>
        <x:v>4123000</x:v>
      </x:c>
      <x:c r="F7" s="8" t="n">
        <x:f>E21</x:f>
        <x:v>7680000</x:v>
      </x:c>
      <x:c r="G7" s="8" t="n">
        <x:f>F21</x:f>
        <x:v>7785000</x:v>
      </x:c>
      <x:c r="H7" s="8" t="n">
        <x:f>G21</x:f>
        <x:v>7890000</x:v>
      </x:c>
      <x:c r="I7" s="8" t="n">
        <x:f>H21</x:f>
        <x:v>7995000</x:v>
      </x:c>
      <x:c r="J7" s="8" t="n">
        <x:f>I21</x:f>
        <x:v>8100000</x:v>
      </x:c>
      <x:c r="K7" s="8" t="n">
        <x:f>J21</x:f>
        <x:v>8205000</x:v>
      </x:c>
      <x:c r="L7" s="8" t="n">
        <x:f>K21</x:f>
        <x:v>8310000</x:v>
      </x:c>
      <x:c r="M7" s="8" t="n">
        <x:f>L21</x:f>
        <x:v>8415000</x:v>
      </x:c>
      <x:c r="N7" s="8" t="n">
        <x:f>B7</x:f>
        <x:v>0</x:v>
      </x:c>
    </x:row>
    <x:row r="8" ht="25" customHeight="1">
      <x:c r="A8" s="2"/>
      <x:c r="B8" s="8"/>
      <x:c r="C8" s="8"/>
      <x:c r="D8" s="8"/>
      <x:c r="E8" s="8"/>
      <x:c r="F8" s="8"/>
      <x:c r="G8" s="8"/>
      <x:c r="H8" s="8"/>
      <x:c r="I8" s="8"/>
      <x:c r="J8" s="8"/>
      <x:c r="K8" s="8"/>
      <x:c r="L8" s="8"/>
      <x:c r="M8" s="8"/>
      <x:c r="N8" s="8"/>
    </x:row>
    <x:row r="9" ht="25" customHeight="1">
      <x:c r="A9" s="2" t="str">
        <x:v>Cobro del desarrollo</x:v>
      </x:c>
      <x:c r="B9" s="8" t="n">
        <x:f>'Supuestos'!$B$5*'Supuestos'!B25</x:f>
        <x:v>6144000</x:v>
      </x:c>
      <x:c r="C9" s="8" t="n">
        <x:f>'Supuestos'!$B$5*'Supuestos'!C25</x:f>
        <x:v>0</x:v>
      </x:c>
      <x:c r="D9" s="8" t="n">
        <x:f>'Supuestos'!$B$5*'Supuestos'!D25</x:f>
        <x:v>8192000</x:v>
      </x:c>
      <x:c r="E9" s="8" t="n">
        <x:f>'Supuestos'!$B$5*'Supuestos'!E25</x:f>
        <x:v>6144000</x:v>
      </x:c>
      <x:c r="F9" s="8" t="n">
        <x:f>'Supuestos'!$B$5*'Supuestos'!F25</x:f>
        <x:v>0</x:v>
      </x:c>
      <x:c r="G9" s="8" t="n">
        <x:f>'Supuestos'!$B$5*'Supuestos'!G25</x:f>
        <x:v>0</x:v>
      </x:c>
      <x:c r="H9" s="8" t="n">
        <x:f>'Supuestos'!$B$5*'Supuestos'!H25</x:f>
        <x:v>0</x:v>
      </x:c>
      <x:c r="I9" s="8" t="n">
        <x:f>'Supuestos'!$B$5*'Supuestos'!I25</x:f>
        <x:v>0</x:v>
      </x:c>
      <x:c r="J9" s="8" t="n">
        <x:f>'Supuestos'!$B$5*'Supuestos'!J25</x:f>
        <x:v>0</x:v>
      </x:c>
      <x:c r="K9" s="8" t="n">
        <x:f>'Supuestos'!$B$5*'Supuestos'!K25</x:f>
        <x:v>0</x:v>
      </x:c>
      <x:c r="L9" s="8" t="n">
        <x:f>'Supuestos'!$B$5*'Supuestos'!L25</x:f>
        <x:v>0</x:v>
      </x:c>
      <x:c r="M9" s="8" t="n">
        <x:f>'Supuestos'!$B$5*'Supuestos'!M25</x:f>
        <x:v>0</x:v>
      </x:c>
      <x:c r="N9" s="8" t="n">
        <x:f>SUM(B9:M9)</x:f>
        <x:v>20480000</x:v>
      </x:c>
    </x:row>
    <x:row r="10" ht="25" customHeight="1">
      <x:c r="A10" s="2" t="str">
        <x:v>Soporte y mantenimiento</x:v>
      </x:c>
      <x:c r="B10" s="8" t="n">
        <x:f>IF('Supuestos'!B$24&gt;='Supuestos'!$B$11,'Supuestos'!$B$8,0)</x:f>
        <x:v>0</x:v>
      </x:c>
      <x:c r="C10" s="8" t="n">
        <x:f>IF('Supuestos'!C$24&gt;='Supuestos'!$B$11,'Supuestos'!$B$8,0)</x:f>
        <x:v>0</x:v>
      </x:c>
      <x:c r="D10" s="8" t="n">
        <x:f>IF('Supuestos'!D$24&gt;='Supuestos'!$B$11,'Supuestos'!$B$8,0)</x:f>
        <x:v>0</x:v>
      </x:c>
      <x:c r="E10" s="8" t="n">
        <x:f>IF('Supuestos'!E$24&gt;='Supuestos'!$B$11,'Supuestos'!$B$8,0)</x:f>
        <x:v>0</x:v>
      </x:c>
      <x:c r="F10" s="8" t="n">
        <x:f>IF('Supuestos'!F$24&gt;='Supuestos'!$B$11,'Supuestos'!$B$8,0)</x:f>
        <x:v>250000</x:v>
      </x:c>
      <x:c r="G10" s="8" t="n">
        <x:f>IF('Supuestos'!G$24&gt;='Supuestos'!$B$11,'Supuestos'!$B$8,0)</x:f>
        <x:v>250000</x:v>
      </x:c>
      <x:c r="H10" s="8" t="n">
        <x:f>IF('Supuestos'!H$24&gt;='Supuestos'!$B$11,'Supuestos'!$B$8,0)</x:f>
        <x:v>250000</x:v>
      </x:c>
      <x:c r="I10" s="8" t="n">
        <x:f>IF('Supuestos'!I$24&gt;='Supuestos'!$B$11,'Supuestos'!$B$8,0)</x:f>
        <x:v>250000</x:v>
      </x:c>
      <x:c r="J10" s="8" t="n">
        <x:f>IF('Supuestos'!J$24&gt;='Supuestos'!$B$11,'Supuestos'!$B$8,0)</x:f>
        <x:v>250000</x:v>
      </x:c>
      <x:c r="K10" s="8" t="n">
        <x:f>IF('Supuestos'!K$24&gt;='Supuestos'!$B$11,'Supuestos'!$B$8,0)</x:f>
        <x:v>250000</x:v>
      </x:c>
      <x:c r="L10" s="8" t="n">
        <x:f>IF('Supuestos'!L$24&gt;='Supuestos'!$B$11,'Supuestos'!$B$8,0)</x:f>
        <x:v>250000</x:v>
      </x:c>
      <x:c r="M10" s="8" t="n">
        <x:f>IF('Supuestos'!M$24&gt;='Supuestos'!$B$11,'Supuestos'!$B$8,0)</x:f>
        <x:v>250000</x:v>
      </x:c>
      <x:c r="N10" s="8" t="n">
        <x:f>SUM(B10:M10)</x:f>
        <x:v>2000000</x:v>
      </x:c>
    </x:row>
    <x:row r="11" ht="30" customHeight="1">
      <x:c r="A11" s="16" t="str">
        <x:v>Total entradas</x:v>
      </x:c>
      <x:c r="B11" s="17" t="n">
        <x:f>SUM(B9:B10)</x:f>
        <x:v>6144000</x:v>
      </x:c>
      <x:c r="C11" s="17" t="n">
        <x:f>SUM(C9:C10)</x:f>
        <x:v>0</x:v>
      </x:c>
      <x:c r="D11" s="17" t="n">
        <x:f>SUM(D9:D10)</x:f>
        <x:v>8192000</x:v>
      </x:c>
      <x:c r="E11" s="17" t="n">
        <x:f>SUM(E9:E10)</x:f>
        <x:v>6144000</x:v>
      </x:c>
      <x:c r="F11" s="17" t="n">
        <x:f>SUM(F9:F10)</x:f>
        <x:v>250000</x:v>
      </x:c>
      <x:c r="G11" s="17" t="n">
        <x:f>SUM(G9:G10)</x:f>
        <x:v>250000</x:v>
      </x:c>
      <x:c r="H11" s="17" t="n">
        <x:f>SUM(H9:H10)</x:f>
        <x:v>250000</x:v>
      </x:c>
      <x:c r="I11" s="17" t="n">
        <x:f>SUM(I9:I10)</x:f>
        <x:v>250000</x:v>
      </x:c>
      <x:c r="J11" s="17" t="n">
        <x:f>SUM(J9:J10)</x:f>
        <x:v>250000</x:v>
      </x:c>
      <x:c r="K11" s="17" t="n">
        <x:f>SUM(K9:K10)</x:f>
        <x:v>250000</x:v>
      </x:c>
      <x:c r="L11" s="17" t="n">
        <x:f>SUM(L9:L10)</x:f>
        <x:v>250000</x:v>
      </x:c>
      <x:c r="M11" s="17" t="n">
        <x:f>SUM(M9:M10)</x:f>
        <x:v>250000</x:v>
      </x:c>
      <x:c r="N11" s="17" t="n">
        <x:f>SUM(B11:M11)</x:f>
        <x:v>22480000</x:v>
      </x:c>
    </x:row>
    <x:row r="12" ht="25" customHeight="1">
      <x:c r="A12" s="2"/>
      <x:c r="B12" s="8"/>
      <x:c r="C12" s="8"/>
      <x:c r="D12" s="8"/>
      <x:c r="E12" s="8"/>
      <x:c r="F12" s="8"/>
      <x:c r="G12" s="8"/>
      <x:c r="H12" s="8"/>
      <x:c r="I12" s="8"/>
      <x:c r="J12" s="8"/>
      <x:c r="K12" s="8"/>
      <x:c r="L12" s="8"/>
      <x:c r="M12" s="8"/>
      <x:c r="N12" s="8"/>
    </x:row>
    <x:row r="13" ht="25" customHeight="1">
      <x:c r="A13" s="2"/>
      <x:c r="B13" s="8"/>
      <x:c r="C13" s="8"/>
      <x:c r="D13" s="8"/>
      <x:c r="E13" s="8"/>
      <x:c r="F13" s="8"/>
      <x:c r="G13" s="8"/>
      <x:c r="H13" s="8"/>
      <x:c r="I13" s="8"/>
      <x:c r="J13" s="8"/>
      <x:c r="K13" s="8"/>
      <x:c r="L13" s="8"/>
      <x:c r="M13" s="8"/>
      <x:c r="N13" s="8"/>
    </x:row>
    <x:row r="14" ht="25" customHeight="1">
      <x:c r="A14" s="2" t="str">
        <x:v>Pago de desarrollo</x:v>
      </x:c>
      <x:c r="B14" s="8" t="n">
        <x:f>SUMPRODUCT('Supuestos'!$B$16:$B$20,'Supuestos'!B28:B32)</x:f>
        <x:v>2452500</x:v>
      </x:c>
      <x:c r="C14" s="8" t="n">
        <x:f>SUMPRODUCT('Supuestos'!$B$16:$B$20,'Supuestos'!C28:C32)</x:f>
        <x:v>3752750</x:v>
      </x:c>
      <x:c r="D14" s="8" t="n">
        <x:f>SUMPRODUCT('Supuestos'!$B$16:$B$20,'Supuestos'!D28:D32)</x:f>
        <x:v>3752750</x:v>
      </x:c>
      <x:c r="E14" s="8" t="n">
        <x:f>SUMPRODUCT('Supuestos'!$B$16:$B$20,'Supuestos'!E28:E32)</x:f>
        <x:v>2542000</x:v>
      </x:c>
      <x:c r="F14" s="8" t="n">
        <x:f>SUMPRODUCT('Supuestos'!$B$16:$B$20,'Supuestos'!F28:F32)</x:f>
        <x:v>0</x:v>
      </x:c>
      <x:c r="G14" s="8" t="n">
        <x:f>SUMPRODUCT('Supuestos'!$B$16:$B$20,'Supuestos'!G28:G32)</x:f>
        <x:v>0</x:v>
      </x:c>
      <x:c r="H14" s="8" t="n">
        <x:f>SUMPRODUCT('Supuestos'!$B$16:$B$20,'Supuestos'!H28:H32)</x:f>
        <x:v>0</x:v>
      </x:c>
      <x:c r="I14" s="8" t="n">
        <x:f>SUMPRODUCT('Supuestos'!$B$16:$B$20,'Supuestos'!I28:I32)</x:f>
        <x:v>0</x:v>
      </x:c>
      <x:c r="J14" s="8" t="n">
        <x:f>SUMPRODUCT('Supuestos'!$B$16:$B$20,'Supuestos'!J28:J32)</x:f>
        <x:v>0</x:v>
      </x:c>
      <x:c r="K14" s="8" t="n">
        <x:f>SUMPRODUCT('Supuestos'!$B$16:$B$20,'Supuestos'!K28:K32)</x:f>
        <x:v>0</x:v>
      </x:c>
      <x:c r="L14" s="8" t="n">
        <x:f>SUMPRODUCT('Supuestos'!$B$16:$B$20,'Supuestos'!L28:L32)</x:f>
        <x:v>0</x:v>
      </x:c>
      <x:c r="M14" s="8" t="n">
        <x:f>SUMPRODUCT('Supuestos'!$B$16:$B$20,'Supuestos'!M28:M32)</x:f>
        <x:v>0</x:v>
      </x:c>
      <x:c r="N14" s="8" t="n">
        <x:f>SUM(B14:M14)</x:f>
        <x:v>12500000</x:v>
      </x:c>
    </x:row>
    <x:row r="15" ht="25" customHeight="1">
      <x:c r="A15" s="2" t="str">
        <x:v>Hosting</x:v>
      </x:c>
      <x:c r="B15" s="8" t="n">
        <x:f>'Supuestos'!$B$6</x:f>
        <x:v>45000</x:v>
      </x:c>
      <x:c r="C15" s="8" t="n">
        <x:f>'Supuestos'!$B$6</x:f>
        <x:v>45000</x:v>
      </x:c>
      <x:c r="D15" s="8" t="n">
        <x:f>'Supuestos'!$B$6</x:f>
        <x:v>45000</x:v>
      </x:c>
      <x:c r="E15" s="8" t="n">
        <x:f>'Supuestos'!$B$6</x:f>
        <x:v>45000</x:v>
      </x:c>
      <x:c r="F15" s="8" t="n">
        <x:f>'Supuestos'!$B$6</x:f>
        <x:v>45000</x:v>
      </x:c>
      <x:c r="G15" s="8" t="n">
        <x:f>'Supuestos'!$B$6</x:f>
        <x:v>45000</x:v>
      </x:c>
      <x:c r="H15" s="8" t="n">
        <x:f>'Supuestos'!$B$6</x:f>
        <x:v>45000</x:v>
      </x:c>
      <x:c r="I15" s="8" t="n">
        <x:f>'Supuestos'!$B$6</x:f>
        <x:v>45000</x:v>
      </x:c>
      <x:c r="J15" s="8" t="n">
        <x:f>'Supuestos'!$B$6</x:f>
        <x:v>45000</x:v>
      </x:c>
      <x:c r="K15" s="8" t="n">
        <x:f>'Supuestos'!$B$6</x:f>
        <x:v>45000</x:v>
      </x:c>
      <x:c r="L15" s="8" t="n">
        <x:f>'Supuestos'!$B$6</x:f>
        <x:v>45000</x:v>
      </x:c>
      <x:c r="M15" s="8" t="n">
        <x:f>'Supuestos'!$B$6</x:f>
        <x:v>45000</x:v>
      </x:c>
      <x:c r="N15" s="8" t="n">
        <x:f>SUM(B15:M15)</x:f>
        <x:v>540000</x:v>
      </x:c>
    </x:row>
    <x:row r="16" ht="25" customHeight="1">
      <x:c r="A16" s="2" t="str">
        <x:v>Cuentas de desarrollador</x:v>
      </x:c>
      <x:c r="B16" s="8" t="n">
        <x:f>'Supuestos'!$B$7*'Supuestos'!B35</x:f>
        <x:v>120000</x:v>
      </x:c>
      <x:c r="C16" s="8" t="n">
        <x:f>'Supuestos'!$B$7*'Supuestos'!C35</x:f>
        <x:v>0</x:v>
      </x:c>
      <x:c r="D16" s="8" t="n">
        <x:f>'Supuestos'!$B$7*'Supuestos'!D35</x:f>
        <x:v>0</x:v>
      </x:c>
      <x:c r="E16" s="8" t="n">
        <x:f>'Supuestos'!$B$7*'Supuestos'!E35</x:f>
        <x:v>0</x:v>
      </x:c>
      <x:c r="F16" s="8" t="n">
        <x:f>'Supuestos'!$B$7*'Supuestos'!F35</x:f>
        <x:v>0</x:v>
      </x:c>
      <x:c r="G16" s="8" t="n">
        <x:f>'Supuestos'!$B$7*'Supuestos'!G35</x:f>
        <x:v>0</x:v>
      </x:c>
      <x:c r="H16" s="8" t="n">
        <x:f>'Supuestos'!$B$7*'Supuestos'!H35</x:f>
        <x:v>0</x:v>
      </x:c>
      <x:c r="I16" s="8" t="n">
        <x:f>'Supuestos'!$B$7*'Supuestos'!I35</x:f>
        <x:v>0</x:v>
      </x:c>
      <x:c r="J16" s="8" t="n">
        <x:f>'Supuestos'!$B$7*'Supuestos'!J35</x:f>
        <x:v>0</x:v>
      </x:c>
      <x:c r="K16" s="8" t="n">
        <x:f>'Supuestos'!$B$7*'Supuestos'!K35</x:f>
        <x:v>0</x:v>
      </x:c>
      <x:c r="L16" s="8" t="n">
        <x:f>'Supuestos'!$B$7*'Supuestos'!L35</x:f>
        <x:v>0</x:v>
      </x:c>
      <x:c r="M16" s="8" t="n">
        <x:f>'Supuestos'!$B$7*'Supuestos'!M35</x:f>
        <x:v>0</x:v>
      </x:c>
      <x:c r="N16" s="8" t="n">
        <x:f>SUM(B16:M16)</x:f>
        <x:v>120000</x:v>
      </x:c>
    </x:row>
    <x:row r="17" ht="25" customHeight="1">
      <x:c r="A17" s="2" t="str">
        <x:v>Costo de soporte</x:v>
      </x:c>
      <x:c r="B17" s="8" t="n">
        <x:f>IF('Supuestos'!B$24&gt;='Supuestos'!$B$11,'Supuestos'!$B$9*'Supuestos'!$B$10,0)</x:f>
        <x:v>0</x:v>
      </x:c>
      <x:c r="C17" s="8" t="n">
        <x:f>IF('Supuestos'!C$24&gt;='Supuestos'!$B$11,'Supuestos'!$B$9*'Supuestos'!$B$10,0)</x:f>
        <x:v>0</x:v>
      </x:c>
      <x:c r="D17" s="8" t="n">
        <x:f>IF('Supuestos'!D$24&gt;='Supuestos'!$B$11,'Supuestos'!$B$9*'Supuestos'!$B$10,0)</x:f>
        <x:v>0</x:v>
      </x:c>
      <x:c r="E17" s="8" t="n">
        <x:f>IF('Supuestos'!E$24&gt;='Supuestos'!$B$11,'Supuestos'!$B$9*'Supuestos'!$B$10,0)</x:f>
        <x:v>0</x:v>
      </x:c>
      <x:c r="F17" s="8" t="n">
        <x:f>IF('Supuestos'!F$24&gt;='Supuestos'!$B$11,'Supuestos'!$B$9*'Supuestos'!$B$10,0)</x:f>
        <x:v>100000</x:v>
      </x:c>
      <x:c r="G17" s="8" t="n">
        <x:f>IF('Supuestos'!G$24&gt;='Supuestos'!$B$11,'Supuestos'!$B$9*'Supuestos'!$B$10,0)</x:f>
        <x:v>100000</x:v>
      </x:c>
      <x:c r="H17" s="8" t="n">
        <x:f>IF('Supuestos'!H$24&gt;='Supuestos'!$B$11,'Supuestos'!$B$9*'Supuestos'!$B$10,0)</x:f>
        <x:v>100000</x:v>
      </x:c>
      <x:c r="I17" s="8" t="n">
        <x:f>IF('Supuestos'!I$24&gt;='Supuestos'!$B$11,'Supuestos'!$B$9*'Supuestos'!$B$10,0)</x:f>
        <x:v>100000</x:v>
      </x:c>
      <x:c r="J17" s="8" t="n">
        <x:f>IF('Supuestos'!J$24&gt;='Supuestos'!$B$11,'Supuestos'!$B$9*'Supuestos'!$B$10,0)</x:f>
        <x:v>100000</x:v>
      </x:c>
      <x:c r="K17" s="8" t="n">
        <x:f>IF('Supuestos'!K$24&gt;='Supuestos'!$B$11,'Supuestos'!$B$9*'Supuestos'!$B$10,0)</x:f>
        <x:v>100000</x:v>
      </x:c>
      <x:c r="L17" s="8" t="n">
        <x:f>IF('Supuestos'!L$24&gt;='Supuestos'!$B$11,'Supuestos'!$B$9*'Supuestos'!$B$10,0)</x:f>
        <x:v>100000</x:v>
      </x:c>
      <x:c r="M17" s="8" t="n">
        <x:f>IF('Supuestos'!M$24&gt;='Supuestos'!$B$11,'Supuestos'!$B$9*'Supuestos'!$B$10,0)</x:f>
        <x:v>100000</x:v>
      </x:c>
      <x:c r="N17" s="8" t="n">
        <x:f>SUM(B17:M17)</x:f>
        <x:v>800000</x:v>
      </x:c>
    </x:row>
    <x:row r="18" ht="30" customHeight="1">
      <x:c r="A18" s="16" t="str">
        <x:v>Total salidas</x:v>
      </x:c>
      <x:c r="B18" s="17" t="n">
        <x:f>SUM(B14:B17)</x:f>
        <x:v>2617500</x:v>
      </x:c>
      <x:c r="C18" s="17" t="n">
        <x:f>SUM(C14:C17)</x:f>
        <x:v>3797750</x:v>
      </x:c>
      <x:c r="D18" s="17" t="n">
        <x:f>SUM(D14:D17)</x:f>
        <x:v>3797750</x:v>
      </x:c>
      <x:c r="E18" s="17" t="n">
        <x:f>SUM(E14:E17)</x:f>
        <x:v>2587000</x:v>
      </x:c>
      <x:c r="F18" s="17" t="n">
        <x:f>SUM(F14:F17)</x:f>
        <x:v>145000</x:v>
      </x:c>
      <x:c r="G18" s="17" t="n">
        <x:f>SUM(G14:G17)</x:f>
        <x:v>145000</x:v>
      </x:c>
      <x:c r="H18" s="17" t="n">
        <x:f>SUM(H14:H17)</x:f>
        <x:v>145000</x:v>
      </x:c>
      <x:c r="I18" s="17" t="n">
        <x:f>SUM(I14:I17)</x:f>
        <x:v>145000</x:v>
      </x:c>
      <x:c r="J18" s="17" t="n">
        <x:f>SUM(J14:J17)</x:f>
        <x:v>145000</x:v>
      </x:c>
      <x:c r="K18" s="17" t="n">
        <x:f>SUM(K14:K17)</x:f>
        <x:v>145000</x:v>
      </x:c>
      <x:c r="L18" s="17" t="n">
        <x:f>SUM(L14:L17)</x:f>
        <x:v>145000</x:v>
      </x:c>
      <x:c r="M18" s="17" t="n">
        <x:f>SUM(M14:M17)</x:f>
        <x:v>145000</x:v>
      </x:c>
      <x:c r="N18" s="17" t="n">
        <x:f>SUM(B18:M18)</x:f>
        <x:v>13960000</x:v>
      </x:c>
    </x:row>
    <x:row r="19" ht="25" customHeight="1">
      <x:c r="A19" s="2"/>
      <x:c r="B19" s="8"/>
      <x:c r="C19" s="8"/>
      <x:c r="D19" s="8"/>
      <x:c r="E19" s="8"/>
      <x:c r="F19" s="8"/>
      <x:c r="G19" s="8"/>
      <x:c r="H19" s="8"/>
      <x:c r="I19" s="8"/>
      <x:c r="J19" s="8"/>
      <x:c r="K19" s="8"/>
      <x:c r="L19" s="8"/>
      <x:c r="M19" s="8"/>
      <x:c r="N19" s="8"/>
    </x:row>
    <x:row r="20" ht="25" customHeight="1">
      <x:c r="A20" s="2" t="str">
        <x:v>Flujo neto del mes</x:v>
      </x:c>
      <x:c r="B20" s="8" t="n">
        <x:f>B11-B18</x:f>
        <x:v>3526500</x:v>
      </x:c>
      <x:c r="C20" s="8" t="n">
        <x:f>C11-C18</x:f>
        <x:v>-3797750</x:v>
      </x:c>
      <x:c r="D20" s="8" t="n">
        <x:f>D11-D18</x:f>
        <x:v>4394250</x:v>
      </x:c>
      <x:c r="E20" s="8" t="n">
        <x:f>E11-E18</x:f>
        <x:v>3557000</x:v>
      </x:c>
      <x:c r="F20" s="8" t="n">
        <x:f>F11-F18</x:f>
        <x:v>105000</x:v>
      </x:c>
      <x:c r="G20" s="8" t="n">
        <x:f>G11-G18</x:f>
        <x:v>105000</x:v>
      </x:c>
      <x:c r="H20" s="8" t="n">
        <x:f>H11-H18</x:f>
        <x:v>105000</x:v>
      </x:c>
      <x:c r="I20" s="8" t="n">
        <x:f>I11-I18</x:f>
        <x:v>105000</x:v>
      </x:c>
      <x:c r="J20" s="8" t="n">
        <x:f>J11-J18</x:f>
        <x:v>105000</x:v>
      </x:c>
      <x:c r="K20" s="8" t="n">
        <x:f>K11-K18</x:f>
        <x:v>105000</x:v>
      </x:c>
      <x:c r="L20" s="8" t="n">
        <x:f>L11-L18</x:f>
        <x:v>105000</x:v>
      </x:c>
      <x:c r="M20" s="8" t="n">
        <x:f>M11-M18</x:f>
        <x:v>105000</x:v>
      </x:c>
      <x:c r="N20" s="8" t="n">
        <x:f>SUM(B20:M20)</x:f>
        <x:v>8520000</x:v>
      </x:c>
    </x:row>
    <x:row r="21" ht="30" customHeight="1">
      <x:c r="A21" s="16" t="str">
        <x:v>Caja final acumulada</x:v>
      </x:c>
      <x:c r="B21" s="17" t="n">
        <x:f>B7+B20</x:f>
        <x:v>3526500</x:v>
      </x:c>
      <x:c r="C21" s="17" t="n">
        <x:f>C7+C20</x:f>
        <x:v>-271250</x:v>
      </x:c>
      <x:c r="D21" s="17" t="n">
        <x:f>D7+D20</x:f>
        <x:v>4123000</x:v>
      </x:c>
      <x:c r="E21" s="17" t="n">
        <x:f>E7+E20</x:f>
        <x:v>7680000</x:v>
      </x:c>
      <x:c r="F21" s="17" t="n">
        <x:f>F7+F20</x:f>
        <x:v>7785000</x:v>
      </x:c>
      <x:c r="G21" s="17" t="n">
        <x:f>G7+G20</x:f>
        <x:v>7890000</x:v>
      </x:c>
      <x:c r="H21" s="17" t="n">
        <x:f>H7+H20</x:f>
        <x:v>7995000</x:v>
      </x:c>
      <x:c r="I21" s="17" t="n">
        <x:f>I7+I20</x:f>
        <x:v>8100000</x:v>
      </x:c>
      <x:c r="J21" s="17" t="n">
        <x:f>J7+J20</x:f>
        <x:v>8205000</x:v>
      </x:c>
      <x:c r="K21" s="17" t="n">
        <x:f>K7+K20</x:f>
        <x:v>8310000</x:v>
      </x:c>
      <x:c r="L21" s="17" t="n">
        <x:f>L7+L20</x:f>
        <x:v>8415000</x:v>
      </x:c>
      <x:c r="M21" s="17" t="n">
        <x:f>M7+M20</x:f>
        <x:v>8520000</x:v>
      </x:c>
      <x:c r="N21" s="17" t="n">
        <x:f>M21</x:f>
        <x:v>8520000</x:v>
      </x:c>
    </x:row>
    <x:row r="22" ht="25" customHeight="1">
      <x:c r="A22" s="2"/>
      <x:c r="B22" s="8"/>
      <x:c r="C22" s="8"/>
      <x:c r="D22" s="8"/>
      <x:c r="E22" s="8"/>
      <x:c r="F22" s="8"/>
      <x:c r="G22" s="8"/>
      <x:c r="H22" s="8"/>
      <x:c r="I22" s="8"/>
      <x:c r="J22" s="8"/>
      <x:c r="K22" s="8"/>
      <x:c r="L22" s="8"/>
      <x:c r="M22" s="8"/>
      <x:c r="N22" s="8"/>
    </x:row>
    <x:row r="23" ht="25" customHeight="1">
      <x:c r="A23" s="2"/>
      <x:c r="B23" s="8"/>
      <x:c r="C23" s="8"/>
      <x:c r="D23" s="8"/>
      <x:c r="E23" s="8"/>
      <x:c r="F23" s="8"/>
      <x:c r="G23" s="8"/>
      <x:c r="H23" s="8"/>
      <x:c r="I23" s="8"/>
      <x:c r="J23" s="8"/>
      <x:c r="K23" s="8"/>
      <x:c r="L23" s="8"/>
      <x:c r="M23" s="8"/>
      <x:c r="N23" s="8"/>
    </x:row>
    <x:row r="24" ht="25" customHeight="1">
      <x:c r="A24" s="2" t="str">
        <x:v>Financiación mínima necesaria</x:v>
      </x:c>
      <x:c r="B24" s="8" t="n">
        <x:f>MAX(0,-MIN(B21:M21))</x:f>
        <x:v>271250</x:v>
      </x:c>
      <x:c r="C24" s="8"/>
      <x:c r="D24" s="18" t="str">
        <x:v>El déficit se cubre con financiación o reprogramación de cobros. No se ha incorporado un préstamo ni costo financiero.</x:v>
      </x:c>
      <x:c r="E24" s="18"/>
      <x:c r="F24" s="18"/>
      <x:c r="G24" s="18"/>
      <x:c r="H24" s="18"/>
      <x:c r="I24" s="18"/>
      <x:c r="J24" s="18"/>
      <x:c r="K24" s="18"/>
      <x:c r="L24" s="18"/>
      <x:c r="M24" s="18"/>
      <x:c r="N24" s="18"/>
    </x:row>
    <x:row r="25" ht="25" customHeight="1">
      <x:c r="A25" s="2"/>
      <x:c r="B25" s="8"/>
      <x:c r="C25" s="8"/>
      <x:c r="D25" s="18"/>
      <x:c r="E25" s="18"/>
      <x:c r="F25" s="18"/>
      <x:c r="G25" s="18"/>
      <x:c r="H25" s="18"/>
      <x:c r="I25" s="18"/>
      <x:c r="J25" s="18"/>
      <x:c r="K25" s="18"/>
      <x:c r="L25" s="18"/>
      <x:c r="M25" s="18"/>
      <x:c r="N25" s="18"/>
    </x:row>
    <x:row r="26" ht="25" customHeight="1">
      <x:c r="A26" s="2"/>
      <x:c r="B26" s="2"/>
      <x:c r="C26" s="2"/>
      <x:c r="D26" s="2"/>
      <x:c r="E26" s="2"/>
      <x:c r="F26" s="2"/>
      <x:c r="G26" s="2"/>
      <x:c r="H26" s="2"/>
      <x:c r="I26" s="2"/>
      <x:c r="J26" s="2"/>
      <x:c r="K26" s="2"/>
      <x:c r="L26" s="2"/>
      <x:c r="M26" s="2"/>
      <x:c r="N26" s="2"/>
    </x:row>
    <x:row r="27" ht="25" customHeight="1">
      <x:c r="A27" s="2" t="str">
        <x:v>Conciliación construcción M1–M4</x:v>
      </x:c>
      <x:c r="B27" s="19" t="n">
        <x:f>SUM(B18:E18)</x:f>
        <x:v>12800000</x:v>
      </x:c>
      <x:c r="C27" s="19"/>
      <x:c r="D27" s="19" t="str">
        <x:v>Referencia Acta</x:v>
      </x:c>
      <x:c r="E27" s="19" t="n">
        <x:v>12800000</x:v>
      </x:c>
      <x:c r="F27" s="19"/>
      <x:c r="G27" s="19" t="str">
        <x:v>Diferencia</x:v>
      </x:c>
      <x:c r="H27" s="19" t="n">
        <x:f>B27-E27</x:f>
        <x:v>0</x:v>
      </x:c>
      <x:c r="I27" s="2"/>
      <x:c r="J27" s="2"/>
      <x:c r="K27" s="2"/>
      <x:c r="L27" s="2"/>
      <x:c r="M27" s="2"/>
      <x:c r="N27" s="2"/>
    </x:row>
    <x:row r="28" ht="25" customHeight="1">
      <x:c r="A28" s="2" t="str">
        <x:v>Desarrollo vs ERS</x:v>
      </x:c>
      <x:c r="B28" s="19" t="n">
        <x:f>N14</x:f>
        <x:v>12500000</x:v>
      </x:c>
      <x:c r="C28" s="19"/>
      <x:c r="D28" s="19" t="str">
        <x:v>Referencia ERS</x:v>
      </x:c>
      <x:c r="E28" s="19" t="n">
        <x:v>12500000</x:v>
      </x:c>
      <x:c r="F28" s="19"/>
      <x:c r="G28" s="19" t="str">
        <x:v>Diferencia</x:v>
      </x:c>
      <x:c r="H28" s="19" t="n">
        <x:f>B28-E28</x:f>
        <x:v>0</x:v>
      </x:c>
      <x:c r="I28" s="2"/>
      <x:c r="J28" s="2"/>
      <x:c r="K28" s="2"/>
      <x:c r="L28" s="2"/>
      <x:c r="M28" s="2"/>
      <x:c r="N28" s="2"/>
    </x:row>
    <x:row r="29" ht="25" customHeight="1">
      <x:c r="A29" s="2"/>
      <x:c r="B29" s="2"/>
      <x:c r="C29" s="2"/>
      <x:c r="D29" s="2"/>
      <x:c r="E29" s="2"/>
      <x:c r="F29" s="2"/>
      <x:c r="G29" s="2"/>
      <x:c r="H29" s="2"/>
      <x:c r="I29" s="2"/>
      <x:c r="J29" s="2"/>
      <x:c r="K29" s="2"/>
      <x:c r="L29" s="2"/>
      <x:c r="M29" s="2"/>
      <x:c r="N29" s="2"/>
    </x:row>
    <x:row r="30" ht="25" customHeight="1">
      <x:c r="A30" s="5" t="str">
        <x:v>Los beneficios operativos del gimnasio se evalúan por separado y no se suman como cobros del proveedor. Los resultados son proyecciones, no ingresos obtenidos. Ver Alcance y beneficios.</x:v>
      </x:c>
      <x:c r="B30" s="5"/>
      <x:c r="C30" s="5"/>
      <x:c r="D30" s="5"/>
      <x:c r="E30" s="5"/>
      <x:c r="F30" s="5"/>
      <x:c r="G30" s="5"/>
      <x:c r="H30" s="5"/>
      <x:c r="I30" s="5"/>
      <x:c r="J30" s="5"/>
      <x:c r="K30" s="5"/>
      <x:c r="L30" s="5"/>
      <x:c r="M30" s="5"/>
      <x:c r="N30" s="5"/>
    </x:row>
    <x:row r="31" ht="25" customHeight="1">
      <x:c r="A31" s="5"/>
      <x:c r="B31" s="5"/>
      <x:c r="C31" s="5"/>
      <x:c r="D31" s="5"/>
      <x:c r="E31" s="5"/>
      <x:c r="F31" s="5"/>
      <x:c r="G31" s="5"/>
      <x:c r="H31" s="5"/>
      <x:c r="I31" s="5"/>
      <x:c r="J31" s="5"/>
      <x:c r="K31" s="5"/>
      <x:c r="L31" s="5"/>
      <x:c r="M31" s="5"/>
      <x:c r="N31" s="5"/>
    </x:row>
    <x:row r="32" ht="25" customHeight="1">
      <x:c r="A32" s="2"/>
      <x:c r="B32" s="2"/>
      <x:c r="C32" s="2"/>
      <x:c r="D32" s="2"/>
      <x:c r="E32" s="2"/>
      <x:c r="F32" s="2"/>
      <x:c r="G32" s="2"/>
      <x:c r="H32" s="2"/>
      <x:c r="I32" s="2"/>
      <x:c r="J32" s="2"/>
      <x:c r="K32" s="2"/>
      <x:c r="L32" s="2"/>
      <x:c r="M32" s="2"/>
      <x:c r="N32" s="2"/>
    </x:row>
    <x:row r="33" ht="25" customHeight="1">
      <x:c r="A33" s="2"/>
      <x:c r="B33" s="2"/>
      <x:c r="C33" s="2"/>
      <x:c r="D33" s="2"/>
      <x:c r="E33" s="2"/>
      <x:c r="F33" s="2"/>
      <x:c r="G33" s="2"/>
      <x:c r="H33" s="2"/>
      <x:c r="I33" s="2"/>
      <x:c r="J33" s="2"/>
      <x:c r="K33" s="2"/>
      <x:c r="L33" s="2"/>
      <x:c r="M33" s="2"/>
      <x:c r="N33" s="2"/>
    </x:row>
    <x:row r="34" ht="25" customHeight="1">
      <x:c r="A34" s="2"/>
      <x:c r="B34" s="2"/>
      <x:c r="C34" s="2"/>
      <x:c r="D34" s="2"/>
      <x:c r="E34" s="2"/>
      <x:c r="F34" s="2"/>
      <x:c r="G34" s="2"/>
      <x:c r="H34" s="2"/>
      <x:c r="I34" s="2"/>
      <x:c r="J34" s="2"/>
      <x:c r="K34" s="2"/>
      <x:c r="L34" s="2"/>
      <x:c r="M34" s="2"/>
      <x:c r="N34" s="2"/>
    </x:row>
    <x:row r="35" ht="25" customHeight="1">
      <x:c r="A35" s="2" t="str">
        <x:v>Mes</x:v>
      </x:c>
      <x:c r="B35" s="2" t="str">
        <x:v>Caja acumulada</x:v>
      </x:c>
      <x:c r="C35" s="2"/>
      <x:c r="D35" s="2"/>
      <x:c r="E35" s="2"/>
      <x:c r="F35" s="2"/>
      <x:c r="G35" s="2"/>
      <x:c r="H35" s="2"/>
      <x:c r="I35" s="2"/>
      <x:c r="J35" s="2"/>
      <x:c r="K35" s="2"/>
      <x:c r="L35" s="2"/>
      <x:c r="M35" s="2"/>
      <x:c r="N35" s="2"/>
    </x:row>
    <x:row r="36" ht="25" customHeight="1">
      <x:c r="A36" s="2" t="str">
        <x:v>M1</x:v>
      </x:c>
      <x:c r="B36" s="8" t="n">
        <x:f>B21</x:f>
        <x:v>3526500</x:v>
      </x:c>
      <x:c r="C36" s="2"/>
      <x:c r="D36" s="2"/>
      <x:c r="E36" s="2"/>
      <x:c r="F36" s="2"/>
      <x:c r="G36" s="2"/>
      <x:c r="H36" s="2"/>
      <x:c r="I36" s="2"/>
      <x:c r="J36" s="2"/>
      <x:c r="K36" s="2"/>
      <x:c r="L36" s="2"/>
      <x:c r="M36" s="2"/>
      <x:c r="N36" s="2"/>
    </x:row>
    <x:row r="37" ht="25" customHeight="1">
      <x:c r="A37" s="2" t="str">
        <x:v>M2</x:v>
      </x:c>
      <x:c r="B37" s="8" t="n">
        <x:f>C21</x:f>
        <x:v>-271250</x:v>
      </x:c>
      <x:c r="C37" s="2"/>
      <x:c r="D37" s="2"/>
      <x:c r="E37" s="2"/>
      <x:c r="F37" s="2"/>
      <x:c r="G37" s="2"/>
      <x:c r="H37" s="2"/>
      <x:c r="I37" s="2"/>
      <x:c r="J37" s="2"/>
      <x:c r="K37" s="2"/>
      <x:c r="L37" s="2"/>
      <x:c r="M37" s="2"/>
      <x:c r="N37" s="2"/>
    </x:row>
    <x:row r="38" ht="25" customHeight="1">
      <x:c r="A38" s="2" t="str">
        <x:v>M3</x:v>
      </x:c>
      <x:c r="B38" s="8" t="n">
        <x:f>D21</x:f>
        <x:v>4123000</x:v>
      </x:c>
      <x:c r="C38" s="2"/>
      <x:c r="D38" s="2"/>
      <x:c r="E38" s="2"/>
      <x:c r="F38" s="2"/>
      <x:c r="G38" s="2"/>
      <x:c r="H38" s="2"/>
      <x:c r="I38" s="2"/>
      <x:c r="J38" s="2"/>
      <x:c r="K38" s="2"/>
      <x:c r="L38" s="2"/>
      <x:c r="M38" s="2"/>
      <x:c r="N38" s="2"/>
    </x:row>
    <x:row r="39" ht="25" customHeight="1">
      <x:c r="A39" s="2" t="str">
        <x:v>M4</x:v>
      </x:c>
      <x:c r="B39" s="8" t="n">
        <x:f>E21</x:f>
        <x:v>7680000</x:v>
      </x:c>
      <x:c r="C39" s="2"/>
      <x:c r="D39" s="2"/>
      <x:c r="E39" s="2"/>
      <x:c r="F39" s="2"/>
      <x:c r="G39" s="2"/>
      <x:c r="H39" s="2"/>
      <x:c r="I39" s="2"/>
      <x:c r="J39" s="2"/>
      <x:c r="K39" s="2"/>
      <x:c r="L39" s="2"/>
      <x:c r="M39" s="2"/>
      <x:c r="N39" s="2"/>
    </x:row>
    <x:row r="40" ht="25" customHeight="1">
      <x:c r="A40" s="2" t="str">
        <x:v>M5</x:v>
      </x:c>
      <x:c r="B40" s="8" t="n">
        <x:f>F21</x:f>
        <x:v>7785000</x:v>
      </x:c>
      <x:c r="C40" s="2"/>
      <x:c r="D40" s="2"/>
      <x:c r="E40" s="2"/>
      <x:c r="F40" s="2"/>
      <x:c r="G40" s="2"/>
      <x:c r="H40" s="2"/>
      <x:c r="I40" s="2"/>
      <x:c r="J40" s="2"/>
      <x:c r="K40" s="2"/>
      <x:c r="L40" s="2"/>
      <x:c r="M40" s="2"/>
      <x:c r="N40" s="2"/>
    </x:row>
    <x:row r="41" ht="25" customHeight="1">
      <x:c r="A41" s="2" t="str">
        <x:v>M6</x:v>
      </x:c>
      <x:c r="B41" s="8" t="n">
        <x:f>G21</x:f>
        <x:v>7890000</x:v>
      </x:c>
      <x:c r="C41" s="2"/>
      <x:c r="D41" s="2"/>
      <x:c r="E41" s="2"/>
      <x:c r="F41" s="2"/>
      <x:c r="G41" s="2"/>
      <x:c r="H41" s="2"/>
      <x:c r="I41" s="2"/>
      <x:c r="J41" s="2"/>
      <x:c r="K41" s="2"/>
      <x:c r="L41" s="2"/>
      <x:c r="M41" s="2"/>
      <x:c r="N41" s="2"/>
    </x:row>
    <x:row r="42" ht="25" customHeight="1">
      <x:c r="A42" s="2" t="str">
        <x:v>M7</x:v>
      </x:c>
      <x:c r="B42" s="8" t="n">
        <x:f>H21</x:f>
        <x:v>7995000</x:v>
      </x:c>
      <x:c r="C42" s="2"/>
      <x:c r="D42" s="2"/>
      <x:c r="E42" s="2"/>
      <x:c r="F42" s="2"/>
      <x:c r="G42" s="2"/>
      <x:c r="H42" s="2"/>
      <x:c r="I42" s="2"/>
      <x:c r="J42" s="2"/>
      <x:c r="K42" s="2"/>
      <x:c r="L42" s="2"/>
      <x:c r="M42" s="2"/>
      <x:c r="N42" s="2"/>
    </x:row>
    <x:row r="43" ht="25" customHeight="1">
      <x:c r="A43" s="2" t="str">
        <x:v>M8</x:v>
      </x:c>
      <x:c r="B43" s="8" t="n">
        <x:f>I21</x:f>
        <x:v>8100000</x:v>
      </x:c>
      <x:c r="C43" s="2"/>
      <x:c r="D43" s="2"/>
      <x:c r="E43" s="2"/>
      <x:c r="F43" s="2"/>
      <x:c r="G43" s="2"/>
      <x:c r="H43" s="2"/>
      <x:c r="I43" s="2"/>
      <x:c r="J43" s="2"/>
      <x:c r="K43" s="2"/>
      <x:c r="L43" s="2"/>
      <x:c r="M43" s="2"/>
      <x:c r="N43" s="2"/>
    </x:row>
    <x:row r="44" ht="25" customHeight="1">
      <x:c r="A44" s="2" t="str">
        <x:v>M9</x:v>
      </x:c>
      <x:c r="B44" s="8" t="n">
        <x:f>J21</x:f>
        <x:v>8205000</x:v>
      </x:c>
      <x:c r="C44" s="2"/>
      <x:c r="D44" s="2"/>
      <x:c r="E44" s="2"/>
      <x:c r="F44" s="2"/>
      <x:c r="G44" s="2"/>
      <x:c r="H44" s="2"/>
      <x:c r="I44" s="2"/>
      <x:c r="J44" s="2"/>
      <x:c r="K44" s="2"/>
      <x:c r="L44" s="2"/>
      <x:c r="M44" s="2"/>
      <x:c r="N44" s="2"/>
    </x:row>
    <x:row r="45" ht="25" customHeight="1">
      <x:c r="A45" s="2" t="str">
        <x:v>M10</x:v>
      </x:c>
      <x:c r="B45" s="8" t="n">
        <x:f>K21</x:f>
        <x:v>8310000</x:v>
      </x:c>
      <x:c r="C45" s="2"/>
      <x:c r="D45" s="2"/>
      <x:c r="E45" s="2"/>
      <x:c r="F45" s="2"/>
      <x:c r="G45" s="2"/>
      <x:c r="H45" s="2"/>
      <x:c r="I45" s="2"/>
      <x:c r="J45" s="2"/>
      <x:c r="K45" s="2"/>
      <x:c r="L45" s="2"/>
      <x:c r="M45" s="2"/>
      <x:c r="N45" s="2"/>
    </x:row>
    <x:row r="46" ht="25" customHeight="1">
      <x:c r="A46" s="2" t="str">
        <x:v>M11</x:v>
      </x:c>
      <x:c r="B46" s="8" t="n">
        <x:f>L21</x:f>
        <x:v>8415000</x:v>
      </x:c>
      <x:c r="C46" s="2"/>
      <x:c r="D46" s="2"/>
      <x:c r="E46" s="2"/>
      <x:c r="F46" s="2"/>
      <x:c r="G46" s="2"/>
      <x:c r="H46" s="2"/>
      <x:c r="I46" s="2"/>
      <x:c r="J46" s="2"/>
      <x:c r="K46" s="2"/>
      <x:c r="L46" s="2"/>
      <x:c r="M46" s="2"/>
      <x:c r="N46" s="2"/>
    </x:row>
    <x:row r="47" ht="25" customHeight="1">
      <x:c r="A47" s="2" t="str">
        <x:v>M12</x:v>
      </x:c>
      <x:c r="B47" s="8" t="n">
        <x:f>M21</x:f>
        <x:v>8520000</x:v>
      </x:c>
      <x:c r="C47" s="2"/>
      <x:c r="D47" s="2"/>
      <x:c r="E47" s="2"/>
      <x:c r="F47" s="2"/>
      <x:c r="G47" s="2"/>
      <x:c r="H47" s="2"/>
      <x:c r="I47" s="2"/>
      <x:c r="J47" s="2"/>
      <x:c r="K47" s="2"/>
      <x:c r="L47" s="2"/>
      <x:c r="M47" s="2"/>
      <x:c r="N47" s="2"/>
    </x:row>
    <x:row r="48" ht="25" customHeight="1">
      <x:c r="A48" s="2"/>
      <x:c r="B48" s="2"/>
      <x:c r="C48" s="2"/>
      <x:c r="D48" s="2"/>
      <x:c r="E48" s="2"/>
      <x:c r="F48" s="2"/>
      <x:c r="G48" s="2"/>
      <x:c r="H48" s="2"/>
      <x:c r="I48" s="2"/>
      <x:c r="J48" s="2"/>
      <x:c r="K48" s="2"/>
      <x:c r="L48" s="2"/>
      <x:c r="M48" s="2"/>
      <x:c r="N48" s="2"/>
    </x:row>
    <x:row r="49" ht="25" customHeight="1">
      <x:c r="A49" s="2"/>
      <x:c r="B49" s="2"/>
      <x:c r="C49" s="2"/>
      <x:c r="D49" s="2"/>
      <x:c r="E49" s="2"/>
      <x:c r="F49" s="2"/>
      <x:c r="G49" s="2"/>
      <x:c r="H49" s="2"/>
      <x:c r="I49" s="2"/>
      <x:c r="J49" s="2"/>
      <x:c r="K49" s="2"/>
      <x:c r="L49" s="2"/>
      <x:c r="M49" s="2"/>
      <x:c r="N49" s="2"/>
    </x:row>
    <x:row r="50" ht="25" customHeight="1">
      <x:c r="A50" s="2"/>
      <x:c r="B50" s="2"/>
      <x:c r="C50" s="2"/>
      <x:c r="D50" s="2"/>
      <x:c r="E50" s="2"/>
      <x:c r="F50" s="2"/>
      <x:c r="G50" s="2"/>
      <x:c r="H50" s="2"/>
      <x:c r="I50" s="2"/>
      <x:c r="J50" s="2"/>
      <x:c r="K50" s="2"/>
      <x:c r="L50" s="2"/>
      <x:c r="M50" s="2"/>
      <x:c r="N50" s="2"/>
    </x:row>
    <x:row r="51" ht="25" customHeight="1">
      <x:c r="A51" s="2"/>
      <x:c r="B51" s="2"/>
      <x:c r="C51" s="2"/>
      <x:c r="D51" s="2"/>
      <x:c r="E51" s="2"/>
      <x:c r="F51" s="2"/>
      <x:c r="G51" s="2"/>
      <x:c r="H51" s="2"/>
      <x:c r="I51" s="2"/>
      <x:c r="J51" s="2"/>
      <x:c r="K51" s="2"/>
      <x:c r="L51" s="2"/>
      <x:c r="M51" s="2"/>
      <x:c r="N51" s="2"/>
    </x:row>
    <x:row r="52" ht="25" customHeight="1">
      <x:c r="A52" s="2"/>
      <x:c r="B52" s="2"/>
      <x:c r="C52" s="2"/>
      <x:c r="D52" s="2"/>
      <x:c r="E52" s="2"/>
      <x:c r="F52" s="2"/>
      <x:c r="G52" s="2"/>
      <x:c r="H52" s="2"/>
      <x:c r="I52" s="2"/>
      <x:c r="J52" s="2"/>
      <x:c r="K52" s="2"/>
      <x:c r="L52" s="2"/>
      <x:c r="M52" s="2"/>
      <x:c r="N52" s="2"/>
    </x:row>
    <x:row r="53" ht="25" customHeight="1">
      <x:c r="A53" s="2"/>
      <x:c r="B53" s="2"/>
      <x:c r="C53" s="2"/>
      <x:c r="D53" s="2"/>
      <x:c r="E53" s="2"/>
      <x:c r="F53" s="2"/>
      <x:c r="G53" s="2"/>
      <x:c r="H53" s="2"/>
      <x:c r="I53" s="2"/>
      <x:c r="J53" s="2"/>
      <x:c r="K53" s="2"/>
      <x:c r="L53" s="2"/>
      <x:c r="M53" s="2"/>
      <x:c r="N53" s="2"/>
    </x:row>
    <x:row r="54" ht="25" customHeight="1">
      <x:c r="A54" s="2"/>
      <x:c r="B54" s="2"/>
      <x:c r="C54" s="2"/>
      <x:c r="D54" s="2"/>
      <x:c r="E54" s="2"/>
      <x:c r="F54" s="2"/>
      <x:c r="G54" s="2"/>
      <x:c r="H54" s="2"/>
      <x:c r="I54" s="2"/>
      <x:c r="J54" s="2"/>
      <x:c r="K54" s="2"/>
      <x:c r="L54" s="2"/>
      <x:c r="M54" s="2"/>
      <x:c r="N54" s="2"/>
    </x:row>
    <x:row r="55" ht="25" customHeight="1">
      <x:c r="A55" s="2"/>
      <x:c r="B55" s="2"/>
      <x:c r="C55" s="2"/>
      <x:c r="D55" s="2"/>
      <x:c r="E55" s="2"/>
      <x:c r="F55" s="2"/>
      <x:c r="G55" s="2"/>
      <x:c r="H55" s="2"/>
      <x:c r="I55" s="2"/>
      <x:c r="J55" s="2"/>
      <x:c r="K55" s="2"/>
      <x:c r="L55" s="2"/>
      <x:c r="M55" s="2"/>
      <x:c r="N55" s="2"/>
    </x:row>
    <x:row r="56" ht="25" customHeight="1">
      <x:c r="A56" s="2"/>
      <x:c r="B56" s="2"/>
      <x:c r="C56" s="2"/>
      <x:c r="D56" s="2"/>
      <x:c r="E56" s="2"/>
      <x:c r="F56" s="2"/>
      <x:c r="G56" s="2"/>
      <x:c r="H56" s="2"/>
      <x:c r="I56" s="2"/>
      <x:c r="J56" s="2"/>
      <x:c r="K56" s="2"/>
      <x:c r="L56" s="2"/>
      <x:c r="M56" s="2"/>
      <x:c r="N56" s="2"/>
    </x:row>
    <x:row r="57" ht="25" customHeight="1">
      <x:c r="A57" s="2"/>
      <x:c r="B57" s="2"/>
      <x:c r="C57" s="2"/>
      <x:c r="D57" s="2"/>
      <x:c r="E57" s="2"/>
      <x:c r="F57" s="2"/>
      <x:c r="G57" s="2"/>
      <x:c r="H57" s="2"/>
      <x:c r="I57" s="2"/>
      <x:c r="J57" s="2"/>
      <x:c r="K57" s="2"/>
      <x:c r="L57" s="2"/>
      <x:c r="M57" s="2"/>
      <x:c r="N57" s="2"/>
    </x:row>
  </x:sheetData>
  <x:mergeCells>
    <x:mergeCell ref="A1:N1"/>
    <x:mergeCell ref="A2:N3"/>
    <x:mergeCell ref="D24:N25"/>
    <x:mergeCell ref="A30:N31"/>
  </x:mergeCells>
  <x:conditionalFormatting sqref="B21:M21">
    <x:cfRule type="cellIs" dxfId="0" priority="1" operator="lessThan">
      <x:formula>0</x:formula>
    </x:cfRule>
  </x:conditionalFormatting>
  <x:pageMargins left="0.7" right="0.7" top="0.75" bottom="0.75" header="0.3" footer="0.3"/>
  <x:drawing xmlns:r="http://schemas.openxmlformats.org/officeDocument/2006/relationships" r:id="R4a355f50c76a4b05"/>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9" hidden="0" customWidth="1"/>
    <x:col min="3" max="3" width="26" hidden="0" customWidth="1"/>
    <x:col min="4" max="4" width="58"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32" customHeight="1">
      <x:c r="A1" s="4" t="str">
        <x:v>Supuestos editables y fuentes · revisión 29-10-2026</x:v>
      </x:c>
      <x:c r="B1" s="4"/>
      <x:c r="C1" s="4"/>
      <x:c r="D1" s="4"/>
      <x:c r="E1" s="4"/>
      <x:c r="F1" s="4"/>
      <x:c r="G1" s="4"/>
      <x:c r="H1" s="4"/>
      <x:c r="I1" s="4"/>
      <x:c r="J1" s="4"/>
      <x:c r="K1" s="4"/>
      <x:c r="L1" s="4"/>
      <x:c r="M1" s="4"/>
      <x:c r="N1" s="4"/>
    </x:row>
    <x:row r="2" ht="25" customHeight="1">
      <x:c r="A2" s="2"/>
      <x:c r="B2" s="2"/>
      <x:c r="C2" s="2"/>
      <x:c r="D2" s="2"/>
      <x:c r="E2" s="2"/>
      <x:c r="F2" s="2"/>
      <x:c r="G2" s="2"/>
      <x:c r="H2" s="2"/>
      <x:c r="I2" s="2"/>
      <x:c r="J2" s="2"/>
      <x:c r="K2" s="2"/>
      <x:c r="L2" s="2"/>
      <x:c r="M2" s="2"/>
      <x:c r="N2" s="2"/>
    </x:row>
    <x:row r="3" ht="25" customHeight="1">
      <x:c r="A3" s="2" t="str">
        <x:v>Azul: entradas editables. Verde: vínculos entre hojas. Negro: fórmulas. Importes en CLP.</x:v>
      </x:c>
      <x:c r="B3" s="2"/>
      <x:c r="C3" s="2"/>
      <x:c r="D3" s="2"/>
      <x:c r="E3" s="2"/>
      <x:c r="F3" s="2"/>
      <x:c r="G3" s="2"/>
      <x:c r="H3" s="2"/>
      <x:c r="I3" s="2"/>
      <x:c r="J3" s="2"/>
      <x:c r="K3" s="2"/>
      <x:c r="L3" s="2"/>
      <x:c r="M3" s="2"/>
      <x:c r="N3" s="2"/>
    </x:row>
    <x:row r="4" ht="25" customHeight="1">
      <x:c r="A4" s="5" t="str">
        <x:v>Variable</x:v>
      </x:c>
      <x:c r="B4" s="5" t="str">
        <x:v>Valor</x:v>
      </x:c>
      <x:c r="C4" s="5" t="str">
        <x:v>Base</x:v>
      </x:c>
      <x:c r="D4" s="5" t="str">
        <x:v>Fuente / criterio</x:v>
      </x:c>
      <x:c r="E4" s="2"/>
      <x:c r="F4" s="2"/>
      <x:c r="G4" s="2"/>
      <x:c r="H4" s="2"/>
      <x:c r="I4" s="2"/>
      <x:c r="J4" s="2"/>
      <x:c r="K4" s="2"/>
      <x:c r="L4" s="2"/>
      <x:c r="M4" s="2"/>
      <x:c r="N4" s="2"/>
    </x:row>
    <x:row r="5" ht="62" customHeight="1">
      <x:c r="A5" s="5" t="str">
        <x:v>Precio del desarrollo</x:v>
      </x:c>
      <x:c r="B5" s="11" t="n">
        <x:v>20480000</x:v>
      </x:c>
      <x:c r="C5" s="5" t="str">
        <x:v>Acta; no contrato</x:v>
      </x:c>
      <x:c r="D5" s="5" t="str">
        <x:v>Acta de Constitución, Fase 1: precio final propuesto.</x:v>
      </x:c>
      <x:c r="E5" s="2"/>
      <x:c r="F5" s="2"/>
      <x:c r="G5" s="2"/>
      <x:c r="H5" s="2"/>
      <x:c r="I5" s="2"/>
      <x:c r="J5" s="2"/>
      <x:c r="K5" s="2"/>
      <x:c r="L5" s="2"/>
      <x:c r="M5" s="2"/>
      <x:c r="N5" s="2"/>
    </x:row>
    <x:row r="6" ht="62" customHeight="1">
      <x:c r="A6" s="5" t="str">
        <x:v>Hosting mensual</x:v>
      </x:c>
      <x:c r="B6" s="11" t="n">
        <x:v>45000</x:v>
      </x:c>
      <x:c r="C6" s="5" t="str">
        <x:v>Acta; por cotizar</x:v>
      </x:c>
      <x:c r="D6" s="5" t="str">
        <x:v>Acta: cloud $45.000/mes. No es tarifa actual verificada.</x:v>
      </x:c>
      <x:c r="E6" s="2"/>
      <x:c r="F6" s="2"/>
      <x:c r="G6" s="2"/>
      <x:c r="H6" s="2"/>
      <x:c r="I6" s="2"/>
      <x:c r="J6" s="2"/>
      <x:c r="K6" s="2"/>
      <x:c r="L6" s="2"/>
      <x:c r="M6" s="2"/>
      <x:c r="N6" s="2"/>
    </x:row>
    <x:row r="7" ht="62" customHeight="1">
      <x:c r="A7" s="5" t="str">
        <x:v>Cuentas de desarrollador / año</x:v>
      </x:c>
      <x:c r="B7" s="11" t="n">
        <x:v>120000</x:v>
      </x:c>
      <x:c r="C7" s="5" t="str">
        <x:v>Acta; condicional</x:v>
      </x:c>
      <x:c r="D7" s="5" t="str">
        <x:v>Acta: Apple/Google. Confirmar canal Android/iOS.</x:v>
      </x:c>
      <x:c r="E7" s="2"/>
      <x:c r="F7" s="2"/>
      <x:c r="G7" s="2"/>
      <x:c r="H7" s="2"/>
      <x:c r="I7" s="2"/>
      <x:c r="J7" s="2"/>
      <x:c r="K7" s="2"/>
      <x:c r="L7" s="2"/>
      <x:c r="M7" s="2"/>
      <x:c r="N7" s="2"/>
    </x:row>
    <x:row r="8" ht="62" customHeight="1">
      <x:c r="A8" s="5" t="str">
        <x:v>Soporte y mantenimiento / mes</x:v>
      </x:c>
      <x:c r="B8" s="11" t="n">
        <x:v>250000</x:v>
      </x:c>
      <x:c r="C8" s="5" t="str">
        <x:v>SUPUESTO ilustrativo</x:v>
      </x:c>
      <x:c r="D8" s="5" t="str">
        <x:v>Único cobro recurrente desde M5; incluye hosting.</x:v>
      </x:c>
      <x:c r="E8" s="2"/>
      <x:c r="F8" s="2"/>
      <x:c r="G8" s="2"/>
      <x:c r="H8" s="2"/>
      <x:c r="I8" s="2"/>
      <x:c r="J8" s="2"/>
      <x:c r="K8" s="2"/>
      <x:c r="L8" s="2"/>
      <x:c r="M8" s="2"/>
      <x:c r="N8" s="2"/>
    </x:row>
    <x:row r="9" ht="62" customHeight="1">
      <x:c r="A9" s="5" t="str">
        <x:v>Horas de soporte / mes</x:v>
      </x:c>
      <x:c r="B9" s="11" t="n">
        <x:v>4</x:v>
      </x:c>
      <x:c r="C9" s="5" t="str">
        <x:v>SUPUESTO ilustrativo</x:v>
      </x:c>
      <x:c r="D9" s="5" t="str">
        <x:v>Capacidad incluida, pendiente de acuerdo.</x:v>
      </x:c>
      <x:c r="E9" s="2"/>
      <x:c r="F9" s="2"/>
      <x:c r="G9" s="2"/>
      <x:c r="H9" s="2"/>
      <x:c r="I9" s="2"/>
      <x:c r="J9" s="2"/>
      <x:c r="K9" s="2"/>
      <x:c r="L9" s="2"/>
      <x:c r="M9" s="2"/>
      <x:c r="N9" s="2"/>
    </x:row>
    <x:row r="10" ht="62" customHeight="1">
      <x:c r="A10" s="5" t="str">
        <x:v>Costo interno / hora</x:v>
      </x:c>
      <x:c r="B10" s="11" t="n">
        <x:v>25000</x:v>
      </x:c>
      <x:c r="C10" s="5" t="str">
        <x:v>SUPUESTO ilustrativo</x:v>
      </x:c>
      <x:c r="D10" s="5" t="str">
        <x:v>Costo del proveedor, no un cargo adicional al cliente.</x:v>
      </x:c>
      <x:c r="E10" s="2"/>
      <x:c r="F10" s="2"/>
      <x:c r="G10" s="2"/>
      <x:c r="H10" s="2"/>
      <x:c r="I10" s="2"/>
      <x:c r="J10" s="2"/>
      <x:c r="K10" s="2"/>
      <x:c r="L10" s="2"/>
      <x:c r="M10" s="2"/>
      <x:c r="N10" s="2"/>
    </x:row>
    <x:row r="11" ht="62" customHeight="1">
      <x:c r="A11" s="5" t="str">
        <x:v>Inicio del soporte (mes)</x:v>
      </x:c>
      <x:c r="B11" s="12" t="n">
        <x:v>5</x:v>
      </x:c>
      <x:c r="C11" s="5" t="str">
        <x:v>SUPUESTO ilustrativo</x:v>
      </x:c>
      <x:c r="D11" s="5" t="str">
        <x:v>Después de cuatro meses de construcción.</x:v>
      </x:c>
      <x:c r="E11" s="2"/>
      <x:c r="F11" s="2"/>
      <x:c r="G11" s="2"/>
      <x:c r="H11" s="2"/>
      <x:c r="I11" s="2"/>
      <x:c r="J11" s="2"/>
      <x:c r="K11" s="2"/>
      <x:c r="L11" s="2"/>
      <x:c r="M11" s="2"/>
      <x:c r="N11" s="2"/>
    </x:row>
    <x:row r="12" ht="62" customHeight="1">
      <x:c r="A12" s="5" t="str">
        <x:v>Caja inicial</x:v>
      </x:c>
      <x:c r="B12" s="11" t="n">
        <x:v>0</x:v>
      </x:c>
      <x:c r="C12" s="5" t="str">
        <x:v>SUPUESTO ilustrativo</x:v>
      </x:c>
      <x:c r="D12" s="5" t="str">
        <x:v>Sin financiación incorporada.</x:v>
      </x:c>
      <x:c r="E12" s="2"/>
      <x:c r="F12" s="2"/>
      <x:c r="G12" s="2"/>
      <x:c r="H12" s="2"/>
      <x:c r="I12" s="2"/>
      <x:c r="J12" s="2"/>
      <x:c r="K12" s="2"/>
      <x:c r="L12" s="2"/>
      <x:c r="M12" s="2"/>
      <x:c r="N12" s="2"/>
    </x:row>
    <x:row r="13" ht="25" customHeight="1">
      <x:c r="A13" s="5"/>
      <x:c r="B13" s="5"/>
      <x:c r="C13" s="5"/>
      <x:c r="D13" s="5"/>
      <x:c r="E13" s="2"/>
      <x:c r="F13" s="2"/>
      <x:c r="G13" s="2"/>
      <x:c r="H13" s="2"/>
      <x:c r="I13" s="2"/>
      <x:c r="J13" s="2"/>
      <x:c r="K13" s="2"/>
      <x:c r="L13" s="2"/>
      <x:c r="M13" s="2"/>
      <x:c r="N13" s="2"/>
    </x:row>
    <x:row r="14" ht="25" customHeight="1">
      <x:c r="A14" s="5"/>
      <x:c r="B14" s="5"/>
      <x:c r="C14" s="5"/>
      <x:c r="D14" s="5"/>
      <x:c r="E14" s="2"/>
      <x:c r="F14" s="2"/>
      <x:c r="G14" s="2"/>
      <x:c r="H14" s="2"/>
      <x:c r="I14" s="2"/>
      <x:c r="J14" s="2"/>
      <x:c r="K14" s="2"/>
      <x:c r="L14" s="2"/>
      <x:c r="M14" s="2"/>
      <x:c r="N14" s="2"/>
    </x:row>
    <x:row r="15" ht="25" customHeight="1">
      <x:c r="A15" s="5" t="str">
        <x:v>Etapa de desarrollo</x:v>
      </x:c>
      <x:c r="B15" s="5" t="str">
        <x:v>Costo CLP</x:v>
      </x:c>
      <x:c r="C15" s="5" t="str">
        <x:v>Base</x:v>
      </x:c>
      <x:c r="D15" s="5" t="str">
        <x:v>Fuente</x:v>
      </x:c>
      <x:c r="E15" s="2"/>
      <x:c r="F15" s="2"/>
      <x:c r="G15" s="2"/>
      <x:c r="H15" s="2"/>
      <x:c r="I15" s="2"/>
      <x:c r="J15" s="2"/>
      <x:c r="K15" s="2"/>
      <x:c r="L15" s="2"/>
      <x:c r="M15" s="2"/>
      <x:c r="N15" s="2"/>
    </x:row>
    <x:row r="16" ht="36" customHeight="1">
      <x:c r="A16" s="5" t="str">
        <x:v>Análisis</x:v>
      </x:c>
      <x:c r="B16" s="11" t="n">
        <x:v>865500</x:v>
      </x:c>
      <x:c r="C16" s="5" t="str">
        <x:v>ERS</x:v>
      </x:c>
      <x:c r="D16" s="5" t="str">
        <x:v>Informe ERS, costos por fase</x:v>
      </x:c>
      <x:c r="E16" s="2"/>
      <x:c r="F16" s="2"/>
      <x:c r="G16" s="2"/>
      <x:c r="H16" s="2"/>
      <x:c r="I16" s="2"/>
      <x:c r="J16" s="2"/>
      <x:c r="K16" s="2"/>
      <x:c r="L16" s="2"/>
      <x:c r="M16" s="2"/>
      <x:c r="N16" s="2"/>
    </x:row>
    <x:row r="17" ht="36" customHeight="1">
      <x:c r="A17" s="5" t="str">
        <x:v>Diseño</x:v>
      </x:c>
      <x:c r="B17" s="11" t="n">
        <x:v>1587000</x:v>
      </x:c>
      <x:c r="C17" s="5" t="str">
        <x:v>ERS</x:v>
      </x:c>
      <x:c r="D17" s="5" t="str">
        <x:v>Informe ERS, costos por fase</x:v>
      </x:c>
      <x:c r="E17" s="2"/>
      <x:c r="F17" s="2"/>
      <x:c r="G17" s="2"/>
      <x:c r="H17" s="2"/>
      <x:c r="I17" s="2"/>
      <x:c r="J17" s="2"/>
      <x:c r="K17" s="2"/>
      <x:c r="L17" s="2"/>
      <x:c r="M17" s="2"/>
      <x:c r="N17" s="2"/>
    </x:row>
    <x:row r="18" ht="36" customHeight="1">
      <x:c r="A18" s="5" t="str">
        <x:v>Desarrollo</x:v>
      </x:c>
      <x:c r="B18" s="11" t="n">
        <x:v>7505500</x:v>
      </x:c>
      <x:c r="C18" s="5" t="str">
        <x:v>ERS</x:v>
      </x:c>
      <x:c r="D18" s="5" t="str">
        <x:v>Informe ERS, costos por fase</x:v>
      </x:c>
      <x:c r="E18" s="2"/>
      <x:c r="F18" s="2"/>
      <x:c r="G18" s="2"/>
      <x:c r="H18" s="2"/>
      <x:c r="I18" s="2"/>
      <x:c r="J18" s="2"/>
      <x:c r="K18" s="2"/>
      <x:c r="L18" s="2"/>
      <x:c r="M18" s="2"/>
      <x:c r="N18" s="2"/>
    </x:row>
    <x:row r="19" ht="36" customHeight="1">
      <x:c r="A19" s="5" t="str">
        <x:v>Pruebas</x:v>
      </x:c>
      <x:c r="B19" s="11" t="n">
        <x:v>1511000</x:v>
      </x:c>
      <x:c r="C19" s="5" t="str">
        <x:v>ERS</x:v>
      </x:c>
      <x:c r="D19" s="5" t="str">
        <x:v>Informe ERS, costos por fase</x:v>
      </x:c>
      <x:c r="E19" s="2"/>
      <x:c r="F19" s="2"/>
      <x:c r="G19" s="2"/>
      <x:c r="H19" s="2"/>
      <x:c r="I19" s="2"/>
      <x:c r="J19" s="2"/>
      <x:c r="K19" s="2"/>
      <x:c r="L19" s="2"/>
      <x:c r="M19" s="2"/>
      <x:c r="N19" s="2"/>
    </x:row>
    <x:row r="20" ht="36" customHeight="1">
      <x:c r="A20" s="5" t="str">
        <x:v>Implantación</x:v>
      </x:c>
      <x:c r="B20" s="11" t="n">
        <x:v>1031000</x:v>
      </x:c>
      <x:c r="C20" s="5" t="str">
        <x:v>ERS</x:v>
      </x:c>
      <x:c r="D20" s="5" t="str">
        <x:v>Informe ERS, costos por fase</x:v>
      </x:c>
      <x:c r="E20" s="2"/>
      <x:c r="F20" s="2"/>
      <x:c r="G20" s="2"/>
      <x:c r="H20" s="2"/>
      <x:c r="I20" s="2"/>
      <x:c r="J20" s="2"/>
      <x:c r="K20" s="2"/>
      <x:c r="L20" s="2"/>
      <x:c r="M20" s="2"/>
      <x:c r="N20" s="2"/>
    </x:row>
    <x:row r="21" ht="25" customHeight="1">
      <x:c r="A21" s="2" t="str">
        <x:v>Total desarrollo</x:v>
      </x:c>
      <x:c r="B21" s="8" t="n">
        <x:f>SUM(B16:B20)</x:f>
        <x:v>12500000</x:v>
      </x:c>
      <x:c r="C21" s="2"/>
      <x:c r="D21" s="2"/>
      <x:c r="E21" s="2"/>
      <x:c r="F21" s="2"/>
      <x:c r="G21" s="2"/>
      <x:c r="H21" s="2"/>
      <x:c r="I21" s="2"/>
      <x:c r="J21" s="2"/>
      <x:c r="K21" s="2"/>
      <x:c r="L21" s="2"/>
      <x:c r="M21" s="2"/>
      <x:c r="N21" s="2"/>
    </x:row>
    <x:row r="22" ht="25" customHeight="1">
      <x:c r="A22" s="2"/>
      <x:c r="B22" s="2"/>
      <x:c r="C22" s="2"/>
      <x:c r="D22" s="2"/>
      <x:c r="E22" s="2"/>
      <x:c r="F22" s="2"/>
      <x:c r="G22" s="2"/>
      <x:c r="H22" s="2"/>
      <x:c r="I22" s="2"/>
      <x:c r="J22" s="2"/>
      <x:c r="K22" s="2"/>
      <x:c r="L22" s="2"/>
      <x:c r="M22" s="2"/>
      <x:c r="N22" s="2"/>
    </x:row>
    <x:row r="23" ht="25" customHeight="1">
      <x:c r="A23" s="2" t="str">
        <x:v>Calendario propuesto: porcentajes de cobro y desembolso. Cada fila debe sumar 100%.</x:v>
      </x:c>
      <x:c r="B23" s="2"/>
      <x:c r="C23" s="2"/>
      <x:c r="D23" s="2"/>
      <x:c r="E23" s="2"/>
      <x:c r="F23" s="2"/>
      <x:c r="G23" s="2"/>
      <x:c r="H23" s="2"/>
      <x:c r="I23" s="2"/>
      <x:c r="J23" s="2"/>
      <x:c r="K23" s="2"/>
      <x:c r="L23" s="2"/>
      <x:c r="M23" s="2"/>
      <x:c r="N23" s="2"/>
    </x:row>
    <x:row r="24" ht="25" customHeight="1">
      <x:c r="A24" s="2" t="str">
        <x:v>Mes relativo</x:v>
      </x:c>
      <x:c r="B24" s="2" t="n">
        <x:v>1</x:v>
      </x:c>
      <x:c r="C24" s="2" t="n">
        <x:v>2</x:v>
      </x:c>
      <x:c r="D24" s="2" t="n">
        <x:v>3</x:v>
      </x:c>
      <x:c r="E24" s="2" t="n">
        <x:v>4</x:v>
      </x:c>
      <x:c r="F24" s="2" t="n">
        <x:v>5</x:v>
      </x:c>
      <x:c r="G24" s="2" t="n">
        <x:v>6</x:v>
      </x:c>
      <x:c r="H24" s="2" t="n">
        <x:v>7</x:v>
      </x:c>
      <x:c r="I24" s="2" t="n">
        <x:v>8</x:v>
      </x:c>
      <x:c r="J24" s="2" t="n">
        <x:v>9</x:v>
      </x:c>
      <x:c r="K24" s="2" t="n">
        <x:v>10</x:v>
      </x:c>
      <x:c r="L24" s="2" t="n">
        <x:v>11</x:v>
      </x:c>
      <x:c r="M24" s="2" t="n">
        <x:v>12</x:v>
      </x:c>
      <x:c r="N24" s="2" t="str">
        <x:v>Suma</x:v>
      </x:c>
    </x:row>
    <x:row r="25" ht="25" customHeight="1">
      <x:c r="A25" s="2" t="str">
        <x:v>Cobro desarrollo</x:v>
      </x:c>
      <x:c r="B25" s="7" t="n">
        <x:v>0.3</x:v>
      </x:c>
      <x:c r="C25" s="7" t="n">
        <x:v>0</x:v>
      </x:c>
      <x:c r="D25" s="7" t="n">
        <x:v>0.4</x:v>
      </x:c>
      <x:c r="E25" s="7" t="n">
        <x:v>0.3</x:v>
      </x:c>
      <x:c r="F25" s="7" t="n">
        <x:v>0</x:v>
      </x:c>
      <x:c r="G25" s="7" t="n">
        <x:v>0</x:v>
      </x:c>
      <x:c r="H25" s="7" t="n">
        <x:v>0</x:v>
      </x:c>
      <x:c r="I25" s="7" t="n">
        <x:v>0</x:v>
      </x:c>
      <x:c r="J25" s="7" t="n">
        <x:v>0</x:v>
      </x:c>
      <x:c r="K25" s="7" t="n">
        <x:v>0</x:v>
      </x:c>
      <x:c r="L25" s="7" t="n">
        <x:v>0</x:v>
      </x:c>
      <x:c r="M25" s="7" t="n">
        <x:v>0</x:v>
      </x:c>
      <x:c r="N25" s="6" t="n">
        <x:f>SUM(B25:M25)</x:f>
        <x:v>1</x:v>
      </x:c>
    </x:row>
    <x:row r="26" ht="25" customHeight="1">
      <x:c r="A26" s="2"/>
      <x:c r="B26" s="2"/>
      <x:c r="C26" s="2"/>
      <x:c r="D26" s="2"/>
      <x:c r="E26" s="2"/>
      <x:c r="F26" s="2"/>
      <x:c r="G26" s="2"/>
      <x:c r="H26" s="2"/>
      <x:c r="I26" s="2"/>
      <x:c r="J26" s="2"/>
      <x:c r="K26" s="2"/>
      <x:c r="L26" s="2"/>
      <x:c r="M26" s="2"/>
      <x:c r="N26" s="2"/>
    </x:row>
    <x:row r="27" ht="25" customHeight="1">
      <x:c r="A27" s="2"/>
      <x:c r="B27" s="2"/>
      <x:c r="C27" s="2"/>
      <x:c r="D27" s="2"/>
      <x:c r="E27" s="2"/>
      <x:c r="F27" s="2"/>
      <x:c r="G27" s="2"/>
      <x:c r="H27" s="2"/>
      <x:c r="I27" s="2"/>
      <x:c r="J27" s="2"/>
      <x:c r="K27" s="2"/>
      <x:c r="L27" s="2"/>
      <x:c r="M27" s="2"/>
      <x:c r="N27" s="2"/>
    </x:row>
    <x:row r="28" ht="25" customHeight="1">
      <x:c r="A28" s="2" t="str">
        <x:v>Pago análisis</x:v>
      </x:c>
      <x:c r="B28" s="7" t="n">
        <x:v>1</x:v>
      </x:c>
      <x:c r="C28" s="7" t="n">
        <x:v>0</x:v>
      </x:c>
      <x:c r="D28" s="7" t="n">
        <x:v>0</x:v>
      </x:c>
      <x:c r="E28" s="7" t="n">
        <x:v>0</x:v>
      </x:c>
      <x:c r="F28" s="7" t="n">
        <x:v>0</x:v>
      </x:c>
      <x:c r="G28" s="7" t="n">
        <x:v>0</x:v>
      </x:c>
      <x:c r="H28" s="7" t="n">
        <x:v>0</x:v>
      </x:c>
      <x:c r="I28" s="7" t="n">
        <x:v>0</x:v>
      </x:c>
      <x:c r="J28" s="7" t="n">
        <x:v>0</x:v>
      </x:c>
      <x:c r="K28" s="7" t="n">
        <x:v>0</x:v>
      </x:c>
      <x:c r="L28" s="7" t="n">
        <x:v>0</x:v>
      </x:c>
      <x:c r="M28" s="7" t="n">
        <x:v>0</x:v>
      </x:c>
      <x:c r="N28" s="6" t="n">
        <x:f>SUM(B28:M28)</x:f>
        <x:v>1</x:v>
      </x:c>
    </x:row>
    <x:row r="29" ht="25" customHeight="1">
      <x:c r="A29" s="2" t="str">
        <x:v>Pago diseño</x:v>
      </x:c>
      <x:c r="B29" s="7" t="n">
        <x:v>1</x:v>
      </x:c>
      <x:c r="C29" s="7" t="n">
        <x:v>0</x:v>
      </x:c>
      <x:c r="D29" s="7" t="n">
        <x:v>0</x:v>
      </x:c>
      <x:c r="E29" s="7" t="n">
        <x:v>0</x:v>
      </x:c>
      <x:c r="F29" s="7" t="n">
        <x:v>0</x:v>
      </x:c>
      <x:c r="G29" s="7" t="n">
        <x:v>0</x:v>
      </x:c>
      <x:c r="H29" s="7" t="n">
        <x:v>0</x:v>
      </x:c>
      <x:c r="I29" s="7" t="n">
        <x:v>0</x:v>
      </x:c>
      <x:c r="J29" s="7" t="n">
        <x:v>0</x:v>
      </x:c>
      <x:c r="K29" s="7" t="n">
        <x:v>0</x:v>
      </x:c>
      <x:c r="L29" s="7" t="n">
        <x:v>0</x:v>
      </x:c>
      <x:c r="M29" s="7" t="n">
        <x:v>0</x:v>
      </x:c>
      <x:c r="N29" s="6" t="n">
        <x:f>SUM(B29:M29)</x:f>
        <x:v>1</x:v>
      </x:c>
    </x:row>
    <x:row r="30" ht="25" customHeight="1">
      <x:c r="A30" s="2" t="str">
        <x:v>Pago desarrollo</x:v>
      </x:c>
      <x:c r="B30" s="7" t="n">
        <x:v>0</x:v>
      </x:c>
      <x:c r="C30" s="7" t="n">
        <x:v>0.5</x:v>
      </x:c>
      <x:c r="D30" s="7" t="n">
        <x:v>0.5</x:v>
      </x:c>
      <x:c r="E30" s="7" t="n">
        <x:v>0</x:v>
      </x:c>
      <x:c r="F30" s="7" t="n">
        <x:v>0</x:v>
      </x:c>
      <x:c r="G30" s="7" t="n">
        <x:v>0</x:v>
      </x:c>
      <x:c r="H30" s="7" t="n">
        <x:v>0</x:v>
      </x:c>
      <x:c r="I30" s="7" t="n">
        <x:v>0</x:v>
      </x:c>
      <x:c r="J30" s="7" t="n">
        <x:v>0</x:v>
      </x:c>
      <x:c r="K30" s="7" t="n">
        <x:v>0</x:v>
      </x:c>
      <x:c r="L30" s="7" t="n">
        <x:v>0</x:v>
      </x:c>
      <x:c r="M30" s="7" t="n">
        <x:v>0</x:v>
      </x:c>
      <x:c r="N30" s="6" t="n">
        <x:f>SUM(B30:M30)</x:f>
        <x:v>1</x:v>
      </x:c>
    </x:row>
    <x:row r="31" ht="25" customHeight="1">
      <x:c r="A31" s="2" t="str">
        <x:v>Pago pruebas</x:v>
      </x:c>
      <x:c r="B31" s="7" t="n">
        <x:v>0</x:v>
      </x:c>
      <x:c r="C31" s="7" t="n">
        <x:v>0</x:v>
      </x:c>
      <x:c r="D31" s="7" t="n">
        <x:v>0</x:v>
      </x:c>
      <x:c r="E31" s="7" t="n">
        <x:v>1</x:v>
      </x:c>
      <x:c r="F31" s="7" t="n">
        <x:v>0</x:v>
      </x:c>
      <x:c r="G31" s="7" t="n">
        <x:v>0</x:v>
      </x:c>
      <x:c r="H31" s="7" t="n">
        <x:v>0</x:v>
      </x:c>
      <x:c r="I31" s="7" t="n">
        <x:v>0</x:v>
      </x:c>
      <x:c r="J31" s="7" t="n">
        <x:v>0</x:v>
      </x:c>
      <x:c r="K31" s="7" t="n">
        <x:v>0</x:v>
      </x:c>
      <x:c r="L31" s="7" t="n">
        <x:v>0</x:v>
      </x:c>
      <x:c r="M31" s="7" t="n">
        <x:v>0</x:v>
      </x:c>
      <x:c r="N31" s="6" t="n">
        <x:f>SUM(B31:M31)</x:f>
        <x:v>1</x:v>
      </x:c>
    </x:row>
    <x:row r="32" ht="25" customHeight="1">
      <x:c r="A32" s="2" t="str">
        <x:v>Pago implantación</x:v>
      </x:c>
      <x:c r="B32" s="7" t="n">
        <x:v>0</x:v>
      </x:c>
      <x:c r="C32" s="7" t="n">
        <x:v>0</x:v>
      </x:c>
      <x:c r="D32" s="7" t="n">
        <x:v>0</x:v>
      </x:c>
      <x:c r="E32" s="7" t="n">
        <x:v>1</x:v>
      </x:c>
      <x:c r="F32" s="7" t="n">
        <x:v>0</x:v>
      </x:c>
      <x:c r="G32" s="7" t="n">
        <x:v>0</x:v>
      </x:c>
      <x:c r="H32" s="7" t="n">
        <x:v>0</x:v>
      </x:c>
      <x:c r="I32" s="7" t="n">
        <x:v>0</x:v>
      </x:c>
      <x:c r="J32" s="7" t="n">
        <x:v>0</x:v>
      </x:c>
      <x:c r="K32" s="7" t="n">
        <x:v>0</x:v>
      </x:c>
      <x:c r="L32" s="7" t="n">
        <x:v>0</x:v>
      </x:c>
      <x:c r="M32" s="7" t="n">
        <x:v>0</x:v>
      </x:c>
      <x:c r="N32" s="6" t="n">
        <x:f>SUM(B32:M32)</x:f>
        <x:v>1</x:v>
      </x:c>
    </x:row>
    <x:row r="33" ht="25" customHeight="1">
      <x:c r="A33" s="2"/>
      <x:c r="B33" s="2"/>
      <x:c r="C33" s="2"/>
      <x:c r="D33" s="2"/>
      <x:c r="E33" s="2"/>
      <x:c r="F33" s="2"/>
      <x:c r="G33" s="2"/>
      <x:c r="H33" s="2"/>
      <x:c r="I33" s="2"/>
      <x:c r="J33" s="2"/>
      <x:c r="K33" s="2"/>
      <x:c r="L33" s="2"/>
      <x:c r="M33" s="2"/>
      <x:c r="N33" s="2"/>
    </x:row>
    <x:row r="34" ht="25" customHeight="1">
      <x:c r="A34" s="2"/>
      <x:c r="B34" s="2"/>
      <x:c r="C34" s="2"/>
      <x:c r="D34" s="2"/>
      <x:c r="E34" s="2"/>
      <x:c r="F34" s="2"/>
      <x:c r="G34" s="2"/>
      <x:c r="H34" s="2"/>
      <x:c r="I34" s="2"/>
      <x:c r="J34" s="2"/>
      <x:c r="K34" s="2"/>
      <x:c r="L34" s="2"/>
      <x:c r="M34" s="2"/>
      <x:c r="N34" s="2"/>
    </x:row>
    <x:row r="35" ht="25" customHeight="1">
      <x:c r="A35" s="2" t="str">
        <x:v>Pago cuentas anual</x:v>
      </x:c>
      <x:c r="B35" s="7" t="n">
        <x:v>1</x:v>
      </x:c>
      <x:c r="C35" s="7" t="n">
        <x:v>0</x:v>
      </x:c>
      <x:c r="D35" s="7" t="n">
        <x:v>0</x:v>
      </x:c>
      <x:c r="E35" s="7" t="n">
        <x:v>0</x:v>
      </x:c>
      <x:c r="F35" s="7" t="n">
        <x:v>0</x:v>
      </x:c>
      <x:c r="G35" s="7" t="n">
        <x:v>0</x:v>
      </x:c>
      <x:c r="H35" s="7" t="n">
        <x:v>0</x:v>
      </x:c>
      <x:c r="I35" s="7" t="n">
        <x:v>0</x:v>
      </x:c>
      <x:c r="J35" s="7" t="n">
        <x:v>0</x:v>
      </x:c>
      <x:c r="K35" s="7" t="n">
        <x:v>0</x:v>
      </x:c>
      <x:c r="L35" s="7" t="n">
        <x:v>0</x:v>
      </x:c>
      <x:c r="M35" s="7" t="n">
        <x:v>0</x:v>
      </x:c>
      <x:c r="N35" s="6" t="n">
        <x:f>SUM(B35:M35)</x:f>
        <x:v>1</x:v>
      </x:c>
    </x:row>
    <x:row r="36" ht="25" customHeight="1">
      <x:c r="A36" s="2"/>
      <x:c r="B36" s="2"/>
      <x:c r="C36" s="2"/>
      <x:c r="D36" s="2"/>
      <x:c r="E36" s="2"/>
      <x:c r="F36" s="2"/>
      <x:c r="G36" s="2"/>
      <x:c r="H36" s="2"/>
      <x:c r="I36" s="2"/>
      <x:c r="J36" s="2"/>
      <x:c r="K36" s="2"/>
      <x:c r="L36" s="2"/>
      <x:c r="M36" s="2"/>
      <x:c r="N36" s="2"/>
    </x:row>
    <x:row r="37" ht="25" customHeight="1">
      <x:c r="A37" s="5" t="str">
        <x:v>Los cuatro meses de construcción son una hipótesis de conciliación del presupuesto, no una duración aprobada. La anualidad de cuentas se paga una vez. No se incluye IVA, impuestos, financiación, comisiones del contrato ni contingencia. Confirmar cotizaciones y condiciones antes de usar como oferta.</x:v>
      </x:c>
      <x:c r="B37" s="5"/>
      <x:c r="C37" s="5"/>
      <x:c r="D37" s="5"/>
      <x:c r="E37" s="5"/>
      <x:c r="F37" s="5"/>
      <x:c r="G37" s="5"/>
      <x:c r="H37" s="5"/>
      <x:c r="I37" s="5"/>
      <x:c r="J37" s="5"/>
      <x:c r="K37" s="5"/>
      <x:c r="L37" s="5"/>
      <x:c r="M37" s="5"/>
      <x:c r="N37" s="5"/>
    </x:row>
    <x:row r="38" ht="25" customHeight="1">
      <x:c r="A38" s="5"/>
      <x:c r="B38" s="5"/>
      <x:c r="C38" s="5"/>
      <x:c r="D38" s="5"/>
      <x:c r="E38" s="5"/>
      <x:c r="F38" s="5"/>
      <x:c r="G38" s="5"/>
      <x:c r="H38" s="5"/>
      <x:c r="I38" s="5"/>
      <x:c r="J38" s="5"/>
      <x:c r="K38" s="5"/>
      <x:c r="L38" s="5"/>
      <x:c r="M38" s="5"/>
      <x:c r="N38" s="5"/>
    </x:row>
    <x:row r="39" ht="25" customHeight="1">
      <x:c r="A39" s="5"/>
      <x:c r="B39" s="5"/>
      <x:c r="C39" s="5"/>
      <x:c r="D39" s="5"/>
      <x:c r="E39" s="5"/>
      <x:c r="F39" s="5"/>
      <x:c r="G39" s="5"/>
      <x:c r="H39" s="5"/>
      <x:c r="I39" s="5"/>
      <x:c r="J39" s="5"/>
      <x:c r="K39" s="5"/>
      <x:c r="L39" s="5"/>
      <x:c r="M39" s="5"/>
      <x:c r="N39" s="5"/>
    </x:row>
    <x:row r="40" ht="25" customHeight="1">
      <x:c r="A40" s="2"/>
      <x:c r="B40" s="2"/>
      <x:c r="C40" s="2"/>
      <x:c r="D40" s="2"/>
      <x:c r="E40" s="2"/>
      <x:c r="F40" s="2"/>
      <x:c r="G40" s="2"/>
      <x:c r="H40" s="2"/>
      <x:c r="I40" s="2"/>
      <x:c r="J40" s="2"/>
      <x:c r="K40" s="2"/>
      <x:c r="L40" s="2"/>
      <x:c r="M40" s="2"/>
      <x:c r="N40" s="2"/>
    </x:row>
  </x:sheetData>
  <x:mergeCells>
    <x:mergeCell ref="A1:N1"/>
    <x:mergeCell ref="A3:F3"/>
    <x:mergeCell ref="A23:N23"/>
    <x:mergeCell ref="A37:N3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05" hidden="0" customWidth="1"/>
    <x:col min="3" max="3" width="12" hidden="0" customWidth="1"/>
    <x:col min="4" max="4" width="12" hidden="0" customWidth="1"/>
    <x:col min="5" max="5" width="12" hidden="0" customWidth="1"/>
    <x:col min="6" max="6" width="12" hidden="0" customWidth="1"/>
  </x:cols>
  <x:sheetData>
    <x:row r="1" ht="32" customHeight="1">
      <x:c r="A1" s="4" t="str">
        <x:v>Alcance y beneficios del escenario</x:v>
      </x:c>
      <x:c r="B1" s="4"/>
      <x:c r="C1" s="4"/>
      <x:c r="D1" s="4"/>
      <x:c r="E1" s="4"/>
      <x:c r="F1" s="4"/>
    </x:row>
    <x:row r="2" ht="25" customHeight="1">
      <x:c r="A2" s="2"/>
      <x:c r="B2" s="2"/>
      <x:c r="C2" s="2"/>
      <x:c r="D2" s="2"/>
      <x:c r="E2" s="2"/>
      <x:c r="F2" s="2"/>
    </x:row>
    <x:row r="3" ht="60" customHeight="1">
      <x:c r="A3" s="20" t="str">
        <x:v>Perspectiva</x:v>
      </x:c>
      <x:c r="B3" s="5" t="str">
        <x:v>Proveedor de NovaFit. Las cuotas de socios del gimnasio no son ingresos de este flujo.</x:v>
      </x:c>
      <x:c r="C3" s="2"/>
      <x:c r="D3" s="2"/>
      <x:c r="E3" s="2"/>
      <x:c r="F3" s="2"/>
    </x:row>
    <x:row r="4" ht="60" customHeight="1">
      <x:c r="A4" s="20" t="str">
        <x:v>Entregables</x:v>
      </x:c>
      <x:c r="B4" s="5" t="str">
        <x:v>Panel web, API, aplicación móvil, modelo de datos, integraciones y documentación. Aceptación según plan QA.</x:v>
      </x:c>
      <x:c r="C4" s="2"/>
      <x:c r="D4" s="2"/>
      <x:c r="E4" s="2"/>
      <x:c r="F4" s="2"/>
    </x:row>
    <x:row r="5" ht="60" customHeight="1">
      <x:c r="A5" s="20" t="str">
        <x:v>Exclusiones</x:v>
      </x:c>
      <x:c r="B5" s="5" t="str">
        <x:v>Torniquetes, wearables, diagnóstico médico, desarrollos adicionales, 24/7 y soporte presencial.</x:v>
      </x:c>
      <x:c r="C5" s="2"/>
      <x:c r="D5" s="2"/>
      <x:c r="E5" s="2"/>
      <x:c r="F5" s="2"/>
    </x:row>
    <x:row r="6" ht="60" customHeight="1">
      <x:c r="A6" s="20" t="str">
        <x:v>Servicio único</x:v>
      </x:c>
      <x:c r="B6" s="5" t="str">
        <x:v>Soporte y mantenimiento mensual desde M5: $250.000 ilustrativos; hasta 4 horas. Incluye hosting, sin segundo cobro al cliente.</x:v>
      </x:c>
      <x:c r="C6" s="2"/>
      <x:c r="D6" s="2"/>
      <x:c r="E6" s="2"/>
      <x:c r="F6" s="2"/>
    </x:row>
    <x:row r="7" ht="60" customHeight="1">
      <x:c r="A7" s="20" t="str">
        <x:v>Costos del servicio</x:v>
      </x:c>
      <x:c r="B7" s="5" t="str">
        <x:v>Costo interno supuesto: 4 h × $25.000 = $100.000/mes; hosting $45.000/mes. Confirmar capacidad y precio.</x:v>
      </x:c>
      <x:c r="C7" s="2"/>
      <x:c r="D7" s="2"/>
      <x:c r="E7" s="2"/>
      <x:c r="F7" s="2"/>
    </x:row>
    <x:row r="8" ht="60" customHeight="1">
      <x:c r="A8" s="20" t="str">
        <x:v>Beneficio administrativo</x:v>
      </x:c>
      <x:c r="B8" s="5" t="str">
        <x:v>Meta histórica: reducir 60% el tiempo. Medir minutos por operación, línea base y muestra. No monetizado.</x:v>
      </x:c>
      <x:c r="C8" s="2"/>
      <x:c r="D8" s="2"/>
      <x:c r="E8" s="2"/>
      <x:c r="F8" s="2"/>
    </x:row>
    <x:row r="9" ht="60" customHeight="1">
      <x:c r="A9" s="20" t="str">
        <x:v>Cobranza</x:v>
      </x:c>
      <x:c r="B9" s="5" t="str">
        <x:v>Meta histórica: 90% de pagos oportunos. Medir pagos a tiempo / pagos exigibles por período.</x:v>
      </x:c>
      <x:c r="C9" s="2"/>
      <x:c r="D9" s="2"/>
      <x:c r="E9" s="2"/>
      <x:c r="F9" s="2"/>
    </x:row>
    <x:row r="10" ht="60" customHeight="1">
      <x:c r="A10" s="20" t="str">
        <x:v>Retención</x:v>
      </x:c>
      <x:c r="B10" s="5" t="str">
        <x:v>Meta histórica: reducir abandono 25% en tres meses. Requiere definición de cohorte y línea base.</x:v>
      </x:c>
      <x:c r="C10" s="2"/>
      <x:c r="D10" s="2"/>
      <x:c r="E10" s="2"/>
      <x:c r="F10" s="2"/>
    </x:row>
    <x:row r="11" ht="60" customHeight="1">
      <x:c r="A11" s="20" t="str">
        <x:v>Entrenamiento</x:v>
      </x:c>
      <x:c r="B11" s="5" t="str">
        <x:v>Historial y alertas para revisión del entrenador; sin eficacia clínica acreditada.</x:v>
      </x:c>
      <x:c r="C11" s="2"/>
      <x:c r="D11" s="2"/>
      <x:c r="E11" s="2"/>
      <x:c r="F11" s="2"/>
    </x:row>
    <x:row r="12" ht="60" customHeight="1">
      <x:c r="A12" s="20" t="str">
        <x:v>Aprobaciones necesarias</x:v>
      </x:c>
      <x:c r="B12" s="5" t="str">
        <x:v>Precio, forma de cobro, tarifa de soporte, horas, impuestos, cuentas, hosting y financiación.</x:v>
      </x:c>
      <x:c r="C12" s="2"/>
      <x:c r="D12" s="2"/>
      <x:c r="E12" s="2"/>
      <x:c r="F12" s="2"/>
    </x:row>
    <x:row r="13" ht="60" customHeight="1">
      <x:c r="A13" s="20" t="str">
        <x:v>Fuentes</x:v>
      </x:c>
      <x:c r="B13" s="5" t="str">
        <x:v>Acta de Constitución e Informe ERS en Fase 1. Presupuesto del PDF corregido. Commit base d86a6b6.</x:v>
      </x:c>
      <x:c r="C13" s="2"/>
      <x:c r="D13" s="2"/>
      <x:c r="E13" s="2"/>
      <x:c r="F13" s="2"/>
    </x:row>
    <x:row r="14" ht="60" customHeight="1">
      <x:c r="A14" s="20" t="str">
        <x:v>Cómo actualizar</x:v>
      </x:c>
      <x:c r="B14" s="5" t="str">
        <x:v>Editar azul en Supuestos; comprobar sumas de porcentajes en N, conciliaciones en Flujo y nuevo déficit.</x:v>
      </x:c>
      <x:c r="C14" s="2"/>
      <x:c r="D14" s="2"/>
      <x:c r="E14" s="2"/>
      <x:c r="F14" s="2"/>
    </x:row>
    <x:row r="15" ht="25" customHeight="1">
      <x:c r="A15" s="2"/>
      <x:c r="B15" s="2"/>
      <x:c r="C15" s="2"/>
      <x:c r="D15" s="2"/>
      <x:c r="E15" s="2"/>
      <x:c r="F15" s="2"/>
    </x:row>
    <x:row r="16" ht="25" customHeight="1">
      <x:c r="A16" s="2"/>
      <x:c r="B16" s="2"/>
      <x:c r="C16" s="2"/>
      <x:c r="D16" s="2"/>
      <x:c r="E16" s="2"/>
      <x:c r="F16" s="2"/>
    </x:row>
    <x:row r="17" ht="25" customHeight="1">
      <x:c r="A17" s="2"/>
      <x:c r="B17" s="2"/>
      <x:c r="C17" s="2"/>
      <x:c r="D17" s="2"/>
      <x:c r="E17" s="2"/>
      <x:c r="F17" s="2"/>
    </x:row>
    <x:row r="18" ht="25" customHeight="1">
      <x:c r="A18" s="2"/>
      <x:c r="B18" s="2"/>
      <x:c r="C18" s="2"/>
      <x:c r="D18" s="2"/>
      <x:c r="E18" s="2"/>
      <x:c r="F18" s="2"/>
    </x:row>
    <x:row r="19" ht="25" customHeight="1">
      <x:c r="A19" s="2"/>
      <x:c r="B19" s="2"/>
      <x:c r="C19" s="2"/>
      <x:c r="D19" s="2"/>
      <x:c r="E19" s="2"/>
      <x:c r="F19" s="2"/>
    </x:row>
    <x:row r="20" ht="25" customHeight="1">
      <x:c r="A20" s="2"/>
      <x:c r="B20" s="2"/>
      <x:c r="C20" s="2"/>
      <x:c r="D20" s="2"/>
      <x:c r="E20" s="2"/>
      <x:c r="F20" s="2"/>
    </x:row>
    <x:row r="21" ht="25" customHeight="1">
      <x:c r="A21" s="2"/>
      <x:c r="B21" s="2"/>
      <x:c r="C21" s="2"/>
      <x:c r="D21" s="2"/>
      <x:c r="E21" s="2"/>
      <x:c r="F21" s="2"/>
    </x:row>
    <x:row r="22" ht="25" customHeight="1">
      <x:c r="A22" s="2"/>
      <x:c r="B22" s="2"/>
      <x:c r="C22" s="2"/>
      <x:c r="D22" s="2"/>
      <x:c r="E22" s="2"/>
      <x:c r="F22" s="2"/>
    </x:row>
    <x:row r="23" ht="25" customHeight="1">
      <x:c r="A23" s="2"/>
      <x:c r="B23" s="2"/>
      <x:c r="C23" s="2"/>
      <x:c r="D23" s="2"/>
      <x:c r="E23" s="2"/>
      <x:c r="F23" s="2"/>
    </x:row>
    <x:row r="24" ht="25" customHeight="1">
      <x:c r="A24" s="2"/>
      <x:c r="B24" s="2"/>
      <x:c r="C24" s="2"/>
      <x:c r="D24" s="2"/>
      <x:c r="E24" s="2"/>
      <x:c r="F24" s="2"/>
    </x:row>
  </x:sheetData>
  <x:mergeCells>
    <x:mergeCell ref="A1:F1"/>
  </x:mergeCells>
  <x:pageMargins left="0.7" right="0.7" top="0.75" bottom="0.75" header="0.3" footer="0.3"/>
</x:worksheet>
</file>